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ssan\Downloads\"/>
    </mc:Choice>
  </mc:AlternateContent>
  <xr:revisionPtr revIDLastSave="0" documentId="13_ncr:1_{E6D6FF77-F54F-49E2-8E16-010336204C7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Active Orders" sheetId="1" r:id="rId1"/>
    <sheet name="Cancelled Orders" sheetId="2" r:id="rId2"/>
    <sheet name="Summary" sheetId="3" r:id="rId3"/>
  </sheets>
  <definedNames>
    <definedName name="_xlnm._FilterDatabase" localSheetId="0" hidden="1">'Active Orders'!$A$1:$T$1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3" l="1"/>
  <c r="B51" i="3"/>
  <c r="B53" i="3" s="1"/>
  <c r="C45" i="3"/>
  <c r="C44" i="3"/>
  <c r="C47" i="3" s="1"/>
  <c r="C43" i="3"/>
  <c r="C42" i="3"/>
  <c r="C46" i="3" s="1"/>
  <c r="B37" i="3"/>
  <c r="B36" i="3"/>
  <c r="B35" i="3"/>
  <c r="B34" i="3"/>
  <c r="B33" i="3"/>
  <c r="B32" i="3"/>
  <c r="B31" i="3"/>
  <c r="B26" i="3"/>
  <c r="B25" i="3"/>
  <c r="F24" i="3"/>
  <c r="B24" i="3"/>
  <c r="F23" i="3"/>
  <c r="B23" i="3"/>
  <c r="F22" i="3"/>
  <c r="B22" i="3"/>
  <c r="F17" i="3"/>
  <c r="B15" i="3"/>
  <c r="B14" i="3"/>
  <c r="F13" i="3"/>
  <c r="B13" i="3"/>
  <c r="F12" i="3"/>
  <c r="B12" i="3"/>
  <c r="F11" i="3"/>
  <c r="B11" i="3"/>
  <c r="M6" i="3"/>
  <c r="K6" i="3"/>
  <c r="I6" i="3"/>
  <c r="G6" i="3"/>
  <c r="E6" i="3"/>
  <c r="C6" i="3"/>
  <c r="A6" i="3"/>
  <c r="O6" i="3" s="1"/>
  <c r="B16" i="3" l="1"/>
  <c r="C11" i="3" s="1"/>
  <c r="C12" i="3" l="1"/>
  <c r="C13" i="3"/>
  <c r="C14" i="3"/>
  <c r="C15" i="3"/>
  <c r="C16" i="3" l="1"/>
</calcChain>
</file>

<file path=xl/sharedStrings.xml><?xml version="1.0" encoding="utf-8"?>
<sst xmlns="http://schemas.openxmlformats.org/spreadsheetml/2006/main" count="402" uniqueCount="213">
  <si>
    <t>SL No.</t>
  </si>
  <si>
    <t>KI ID</t>
  </si>
  <si>
    <t>Order Received</t>
  </si>
  <si>
    <t>Region</t>
  </si>
  <si>
    <t>City</t>
  </si>
  <si>
    <t>Circuit ID</t>
  </si>
  <si>
    <t>Order Number</t>
  </si>
  <si>
    <t>Customer Name</t>
  </si>
  <si>
    <t>Customer Contact</t>
  </si>
  <si>
    <t>BW</t>
  </si>
  <si>
    <t>LOS Performed</t>
  </si>
  <si>
    <t>LOS Status</t>
  </si>
  <si>
    <t>LOS ID</t>
  </si>
  <si>
    <t>CWO Date</t>
  </si>
  <si>
    <t>Installation Start Date</t>
  </si>
  <si>
    <t>Installation Complete Date</t>
  </si>
  <si>
    <t>Delivery Date</t>
  </si>
  <si>
    <t>Order Status</t>
  </si>
  <si>
    <t>Assigned To</t>
  </si>
  <si>
    <t>KIC-001-MW-MEL-STC</t>
  </si>
  <si>
    <t>CENTRAL</t>
  </si>
  <si>
    <t>QASSIM</t>
  </si>
  <si>
    <t>QASSIM-RIYADH DIAS11003</t>
  </si>
  <si>
    <t>I-14977452579171</t>
  </si>
  <si>
    <t>Fosam Limited Company</t>
  </si>
  <si>
    <t>ابتسام اليامي - 553584472</t>
  </si>
  <si>
    <t>20MBPs</t>
  </si>
  <si>
    <t>CLOS</t>
  </si>
  <si>
    <t>601-22-000</t>
  </si>
  <si>
    <t>Under MW Installation</t>
  </si>
  <si>
    <t>Haroon</t>
  </si>
  <si>
    <t>KIC-002-MW-MEL-STC</t>
  </si>
  <si>
    <t>RIYADHDST</t>
  </si>
  <si>
    <t>RIYADHDST-RIYADH DIAS11019</t>
  </si>
  <si>
    <t>I14977108106221</t>
  </si>
  <si>
    <t>Bunyan for Industry CompanySole Partnership</t>
  </si>
  <si>
    <t>وليد الغامدي - 565577234</t>
  </si>
  <si>
    <t>25MBPs</t>
  </si>
  <si>
    <t>ZAKA160</t>
  </si>
  <si>
    <t>KIC-003-MW-MEL-STC</t>
  </si>
  <si>
    <t>RIYADHDST-RIYADH DIAS11048</t>
  </si>
  <si>
    <t>I14978406074781</t>
  </si>
  <si>
    <t>MINISTRY OF ISLAMIC AFFAIRS1</t>
  </si>
  <si>
    <t>mutlatq mutlatq- 554141990</t>
  </si>
  <si>
    <t>6MBPs</t>
  </si>
  <si>
    <t>ZTMA001</t>
  </si>
  <si>
    <t xml:space="preserve">Delivered </t>
  </si>
  <si>
    <t>Shukoor</t>
  </si>
  <si>
    <t>KIC-004-MW-MEL-STC</t>
  </si>
  <si>
    <t>QASSIM-RIYADH DIAS11007</t>
  </si>
  <si>
    <t>I14978403932431</t>
  </si>
  <si>
    <t>ZBRA012</t>
  </si>
  <si>
    <t>KIC-005-MW-MEL-STC</t>
  </si>
  <si>
    <t>QASSIM-RIYADH W-DIA64771</t>
  </si>
  <si>
    <t>I-154546342-0886</t>
  </si>
  <si>
    <t>NOURNET ISP 1</t>
  </si>
  <si>
    <t>Atif Ahmad - 966504164527</t>
  </si>
  <si>
    <t>8MBPs</t>
  </si>
  <si>
    <t>ZBDA012</t>
  </si>
  <si>
    <t>Under Activation</t>
  </si>
  <si>
    <t>KIC-006-MW-MEL-STC</t>
  </si>
  <si>
    <t>RIYADHDISTRICTS-RIYADH W-DIA64993</t>
  </si>
  <si>
    <t>I-154915203-2128</t>
  </si>
  <si>
    <t>4MBPs</t>
  </si>
  <si>
    <t>ZDAA055</t>
  </si>
  <si>
    <t>KIC-007-MW-MEL-STC</t>
  </si>
  <si>
    <t>RIYADHDISTRICTS-RIYADH W-DIA64472</t>
  </si>
  <si>
    <t>I-154001313-9084</t>
  </si>
  <si>
    <t>Under TWAL Approval</t>
  </si>
  <si>
    <t>KIC-008-MW-MEL-Mobily</t>
  </si>
  <si>
    <t>RIYADH</t>
  </si>
  <si>
    <t>SIP Link	1-274297070922</t>
  </si>
  <si>
    <t>1MBPs</t>
  </si>
  <si>
    <t>C6406</t>
  </si>
  <si>
    <t>KIC-009-MW-MEL-STC</t>
  </si>
  <si>
    <t>RIYADHDISTRICTS-RIYADH W-DIA65540</t>
  </si>
  <si>
    <t>I-155313238-4448</t>
  </si>
  <si>
    <t>ZAKA013</t>
  </si>
  <si>
    <t>KIC-010-MW-MEL-STC</t>
  </si>
  <si>
    <t>RIYADH-RIYADH W-PLL62209</t>
  </si>
  <si>
    <t>I-150409923-1673</t>
  </si>
  <si>
    <t>TAWAL</t>
  </si>
  <si>
    <t>Muhanned Abusummah-- 0502897276</t>
  </si>
  <si>
    <t>100Mbps</t>
  </si>
  <si>
    <t>ZR4020</t>
  </si>
  <si>
    <t>Delivered / CR Pending</t>
  </si>
  <si>
    <t>KIC-011-MW-MEL-STC</t>
  </si>
  <si>
    <t>RIYADH-RIYADH W-PLL61594</t>
  </si>
  <si>
    <t>I-149425327-9129</t>
  </si>
  <si>
    <t>Abdulrahman Balfaqih-- 0502897276</t>
  </si>
  <si>
    <t>ZAKA953</t>
  </si>
  <si>
    <t xml:space="preserve">Under MW Installation / Pending Due to Permission Letter </t>
  </si>
  <si>
    <t>KIC-012-MW-MEL-STC</t>
  </si>
  <si>
    <t>RIYADHDISTRICTS-RIYADH W-PLL61621</t>
  </si>
  <si>
    <t>I-149433405-9386</t>
  </si>
  <si>
    <t>FRB04</t>
  </si>
  <si>
    <t>KIC-013-MW-MEL-STC</t>
  </si>
  <si>
    <t>EAST</t>
  </si>
  <si>
    <t>ALAHSA</t>
  </si>
  <si>
    <t>ALAHSA-DAMMAM W-PLL60851</t>
  </si>
  <si>
    <t>I-148474460-6471</t>
  </si>
  <si>
    <t>FRD12</t>
  </si>
  <si>
    <t>KIC-014-MW-MEL-STC</t>
  </si>
  <si>
    <t>RIYADHDISTRICTS-RIYADH W-DIA65578</t>
  </si>
  <si>
    <t>I-155424122-6722</t>
  </si>
  <si>
    <t xml:space="preserve">NOURNET ISP 1 </t>
  </si>
  <si>
    <t>Atif--0504164527</t>
  </si>
  <si>
    <t>8MBPS</t>
  </si>
  <si>
    <t>FTR16</t>
  </si>
  <si>
    <t>KIC-015-MW-MEL-STC</t>
  </si>
  <si>
    <t>RIYADHDISTRICTS-RIYADH W-DIA65586</t>
  </si>
  <si>
    <t>I-155428046-6760</t>
  </si>
  <si>
    <t>FTR14</t>
  </si>
  <si>
    <t>KIC-016-MW-MEL-STC</t>
  </si>
  <si>
    <t>QASSIM-RIYADH W-DIA66191</t>
  </si>
  <si>
    <t>I-155826101-8176</t>
  </si>
  <si>
    <t>NOURNET ISP 1 - NOURNET ISP - SC 1</t>
  </si>
  <si>
    <t>689-00-101</t>
  </si>
  <si>
    <t>KIC-017-MW-MEL-STC</t>
  </si>
  <si>
    <t>HAIL</t>
  </si>
  <si>
    <t>HAIL-RIYADH W-DIA66171</t>
  </si>
  <si>
    <t>I-155792125-7075</t>
  </si>
  <si>
    <t>ZHAA035</t>
  </si>
  <si>
    <t>KIC-018-MW-MEL-STC</t>
  </si>
  <si>
    <t>RIYADH-RIYADH W-DIA65391</t>
  </si>
  <si>
    <t>I-155156872-9273</t>
  </si>
  <si>
    <t>Cancelled</t>
  </si>
  <si>
    <t>KI ORDERS — SUMMARY DASHBOARD</t>
  </si>
  <si>
    <t>Live snapshot — all figures below recalculate automatically from the Sheet1 order log</t>
  </si>
  <si>
    <t>LOS COMPLETED (CLOS)</t>
  </si>
  <si>
    <t>IN PROCESS / INSTALLING</t>
  </si>
  <si>
    <t>AWAITING TWAL APPROVAL</t>
  </si>
  <si>
    <t>STATUS NOT YET SET</t>
  </si>
  <si>
    <t>CANCELLED ORDERS</t>
  </si>
  <si>
    <t>DELIVERED</t>
  </si>
  <si>
    <t>GRAND TOTAL (ALL ORDERS)</t>
  </si>
  <si>
    <t>Order Status Breakdown</t>
  </si>
  <si>
    <t>Region Breakdown</t>
  </si>
  <si>
    <t>Count</t>
  </si>
  <si>
    <t>Share</t>
  </si>
  <si>
    <t>Not Specified</t>
  </si>
  <si>
    <t>Not Yet Set</t>
  </si>
  <si>
    <t>Delivered</t>
  </si>
  <si>
    <t>Cancelled Orders Summary</t>
  </si>
  <si>
    <t>Total</t>
  </si>
  <si>
    <t>Metric</t>
  </si>
  <si>
    <t>Total Cancelled Orders</t>
  </si>
  <si>
    <t>City Breakdown</t>
  </si>
  <si>
    <t>LOS Status Breakdown</t>
  </si>
  <si>
    <t>Pending</t>
  </si>
  <si>
    <t>Not Started</t>
  </si>
  <si>
    <t>Bandwidth (BW) Distribution</t>
  </si>
  <si>
    <t>Bandwidth</t>
  </si>
  <si>
    <t>STC vs Mobily Breakdown</t>
  </si>
  <si>
    <t>Provider</t>
  </si>
  <si>
    <t>Source Sheet</t>
  </si>
  <si>
    <t>STC Orders</t>
  </si>
  <si>
    <t>Active Orders</t>
  </si>
  <si>
    <t>Cancelled Orders</t>
  </si>
  <si>
    <t>Mobily Orders</t>
  </si>
  <si>
    <t>Total STC Orders</t>
  </si>
  <si>
    <t>Total Mobily Orders</t>
  </si>
  <si>
    <t>Active vs Cancelled</t>
  </si>
  <si>
    <t>Status</t>
  </si>
  <si>
    <t>Grand Total</t>
  </si>
  <si>
    <r>
      <t>mutlatq mutlatq- 554141990/+966561733000</t>
    </r>
    <r>
      <rPr>
        <sz val="11"/>
        <color theme="1"/>
        <rFont val="FreeSans"/>
        <family val="2"/>
        <charset val="1"/>
      </rPr>
      <t>فواز الوتيد دوام</t>
    </r>
  </si>
  <si>
    <r>
      <t xml:space="preserve">Life Care Medical Complex  </t>
    </r>
    <r>
      <rPr>
        <sz val="11"/>
        <color theme="1"/>
        <rFont val="FreeSans"/>
        <family val="2"/>
        <charset val="1"/>
      </rPr>
      <t>مجمع لايف كير الطبي</t>
    </r>
    <r>
      <rPr>
        <sz val="11"/>
        <color theme="1"/>
        <rFont val="Calibri"/>
        <family val="2"/>
        <charset val="1"/>
      </rPr>
      <t xml:space="preserve">	</t>
    </r>
  </si>
  <si>
    <r>
      <t xml:space="preserve">    0573240869  </t>
    </r>
    <r>
      <rPr>
        <sz val="11"/>
        <color theme="1"/>
        <rFont val="FreeSans"/>
        <family val="2"/>
        <charset val="1"/>
      </rPr>
      <t>منهاز</t>
    </r>
  </si>
  <si>
    <t>SIP	1-274382463011</t>
  </si>
  <si>
    <t>1001241250916699</t>
  </si>
  <si>
    <t xml:space="preserve">Gulf Training and Education Company-1	شركة الخليج للتدريب والتعليم-1	</t>
  </si>
  <si>
    <t>MOHAMMED AL-BATATI- 966503282262</t>
  </si>
  <si>
    <t>TOTAL ACTIVE ORDERS</t>
  </si>
  <si>
    <t>KIC-019-MW-MEL-Mobily</t>
  </si>
  <si>
    <t>RIYADHDISTRICTS-RIYADH W-DIA64460</t>
  </si>
  <si>
    <t>ZASA009</t>
  </si>
  <si>
    <t>I-153997754-9021</t>
  </si>
  <si>
    <t>I-155312328-4448</t>
  </si>
  <si>
    <t>NOURNET ISP 1 - NOURNET ISP</t>
  </si>
  <si>
    <t>Atif Ahmad-0504164527</t>
  </si>
  <si>
    <t>8Mbps</t>
  </si>
  <si>
    <t>KIC-020-MW-MEL-STC</t>
  </si>
  <si>
    <t>KIC-021-MW-MEL-STC</t>
  </si>
  <si>
    <t>KIC-022-MW-MEL-STC</t>
  </si>
  <si>
    <t>KIC-023-MW-MEL-STC</t>
  </si>
  <si>
    <t>1001274298017324</t>
  </si>
  <si>
    <t>QASSIM-RIYADH W-PLL66095</t>
  </si>
  <si>
    <t>I-155754471-6042</t>
  </si>
  <si>
    <t>10MBPS</t>
  </si>
  <si>
    <t>EATC - EATC</t>
  </si>
  <si>
    <t>Saleh Aljari-- 0553612927</t>
  </si>
  <si>
    <t>SDH 689-11-200-01</t>
  </si>
  <si>
    <t>Yes</t>
  </si>
  <si>
    <t>Pole</t>
  </si>
  <si>
    <t>Invoice</t>
  </si>
  <si>
    <t>Issued</t>
  </si>
  <si>
    <t>Al Rajhi bank</t>
  </si>
  <si>
    <t xml:space="preserve"> 0567878430 Yahya</t>
  </si>
  <si>
    <t>C0487</t>
  </si>
  <si>
    <t>Re Routed to ZAKA001 due to ZAKA013 tower will be dismental</t>
  </si>
  <si>
    <t>ZAK001 Re Routed</t>
  </si>
  <si>
    <t>Installation will be start tomorrow.</t>
  </si>
  <si>
    <t>RIYADh</t>
  </si>
  <si>
    <t>DIA-Circuit	1-274518091680</t>
  </si>
  <si>
    <t>1001274526958901</t>
  </si>
  <si>
    <t>Technology Equipment Trading Company	مؤسسة معدات التقانة للتجارة</t>
  </si>
  <si>
    <t xml:space="preserve">Mr. Mwafaq - 0568007928 </t>
  </si>
  <si>
    <t xml:space="preserve">4Mbps	</t>
  </si>
  <si>
    <t>KIC-024-MW-MEL-Mobily</t>
  </si>
  <si>
    <t>As per customer hold this request he will tell us once site is ready</t>
  </si>
  <si>
    <t>CE1553</t>
  </si>
  <si>
    <t>Installation is completed at both ends / will be delivered tomorrow.</t>
  </si>
  <si>
    <t>Installtion is completed at both ends / pending due to alignment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</si>
</sst>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[$-409]dd\-mmm\-yy;@"/>
  </numFmts>
  <fonts count="17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theme="1"/>
      <name val="FreeSans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8"/>
      <color rgb="FFFFFFFF"/>
      <name val="Calibri"/>
      <family val="2"/>
      <charset val="1"/>
    </font>
    <font>
      <i/>
      <sz val="9"/>
      <color rgb="FF808080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20"/>
      <color rgb="FFFFFFFF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mbria"/>
      <family val="1"/>
      <charset val="1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92D050"/>
        <bgColor rgb="FF70AD47"/>
      </patternFill>
    </fill>
    <fill>
      <patternFill patternType="solid">
        <fgColor rgb="FF1F1F3D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C00000"/>
        <bgColor rgb="FFFF0000"/>
      </patternFill>
    </fill>
    <fill>
      <patternFill patternType="solid">
        <fgColor rgb="FF808080"/>
        <bgColor rgb="FF8B8B8B"/>
      </patternFill>
    </fill>
    <fill>
      <patternFill patternType="solid">
        <fgColor rgb="FF008080"/>
        <bgColor rgb="FF00808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03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4" borderId="3" xfId="0" applyFont="1" applyFill="1" applyBorder="1" applyAlignment="1">
      <alignment horizontal="center"/>
    </xf>
    <xf numFmtId="0" fontId="5" fillId="0" borderId="3" xfId="0" applyFont="1" applyBorder="1"/>
    <xf numFmtId="0" fontId="14" fillId="0" borderId="3" xfId="0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165" fontId="15" fillId="0" borderId="3" xfId="0" applyNumberFormat="1" applyFont="1" applyBorder="1" applyAlignment="1">
      <alignment horizontal="center"/>
    </xf>
    <xf numFmtId="0" fontId="5" fillId="0" borderId="0" xfId="0" applyFont="1"/>
    <xf numFmtId="0" fontId="14" fillId="0" borderId="0" xfId="0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10" fontId="15" fillId="0" borderId="0" xfId="0" applyNumberFormat="1" applyFont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5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/>
    </xf>
    <xf numFmtId="49" fontId="0" fillId="9" borderId="1" xfId="0" applyNumberFormat="1" applyFill="1" applyBorder="1" applyAlignment="1">
      <alignment horizontal="left" vertical="center"/>
    </xf>
    <xf numFmtId="15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1" xfId="1" applyBorder="1" applyAlignment="1">
      <alignment horizontal="left"/>
    </xf>
    <xf numFmtId="0" fontId="16" fillId="10" borderId="1" xfId="1" applyFont="1" applyFill="1" applyBorder="1" applyAlignment="1">
      <alignment horizontal="left" vertical="center"/>
    </xf>
    <xf numFmtId="0" fontId="16" fillId="9" borderId="1" xfId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left"/>
    </xf>
    <xf numFmtId="49" fontId="0" fillId="13" borderId="1" xfId="0" applyNumberFormat="1" applyFill="1" applyBorder="1" applyAlignment="1">
      <alignment horizontal="left" vertical="center"/>
    </xf>
    <xf numFmtId="15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5" fillId="9" borderId="1" xfId="0" applyFont="1" applyFill="1" applyBorder="1" applyAlignment="1">
      <alignment horizontal="left" vertical="center"/>
    </xf>
    <xf numFmtId="0" fontId="1" fillId="0" borderId="1" xfId="1" applyFont="1" applyBorder="1" applyAlignment="1">
      <alignment horizontal="left"/>
    </xf>
    <xf numFmtId="0" fontId="5" fillId="9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49" fontId="5" fillId="9" borderId="1" xfId="0" applyNumberFormat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15" fontId="5" fillId="9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166" fontId="0" fillId="9" borderId="1" xfId="0" applyNumberFormat="1" applyFill="1" applyBorder="1" applyAlignment="1">
      <alignment horizontal="left" vertical="center"/>
    </xf>
    <xf numFmtId="166" fontId="0" fillId="13" borderId="1" xfId="0" applyNumberFormat="1" applyFill="1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166" fontId="5" fillId="9" borderId="1" xfId="0" applyNumberFormat="1" applyFont="1" applyFill="1" applyBorder="1" applyAlignment="1">
      <alignment horizontal="left" vertical="center"/>
    </xf>
    <xf numFmtId="166" fontId="6" fillId="0" borderId="0" xfId="0" applyNumberFormat="1" applyFont="1" applyAlignment="1">
      <alignment horizontal="left"/>
    </xf>
    <xf numFmtId="166" fontId="16" fillId="9" borderId="1" xfId="1" applyNumberFormat="1" applyFont="1" applyFill="1" applyBorder="1" applyAlignment="1">
      <alignment horizontal="left" vertical="center"/>
    </xf>
    <xf numFmtId="166" fontId="16" fillId="10" borderId="1" xfId="1" applyNumberFormat="1" applyFont="1" applyFill="1" applyBorder="1" applyAlignment="1">
      <alignment horizontal="left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4" fontId="16" fillId="9" borderId="1" xfId="1" applyNumberFormat="1" applyFont="1" applyFill="1" applyBorder="1" applyAlignment="1">
      <alignment horizontal="center" vertical="center"/>
    </xf>
    <xf numFmtId="164" fontId="16" fillId="10" borderId="1" xfId="1" applyNumberFormat="1" applyFont="1" applyFill="1" applyBorder="1" applyAlignment="1">
      <alignment horizontal="center" vertical="center"/>
    </xf>
    <xf numFmtId="0" fontId="2" fillId="9" borderId="1" xfId="1" applyFill="1" applyBorder="1" applyAlignment="1">
      <alignment horizontal="left"/>
    </xf>
    <xf numFmtId="0" fontId="12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5" fillId="0" borderId="1" xfId="0" applyFont="1" applyBorder="1"/>
    <xf numFmtId="0" fontId="10" fillId="8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4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83FAF997-A578-4D52-9CED-3215EBDB793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0AD47"/>
      <rgbColor rgb="FF800080"/>
      <rgbColor rgb="FF008080"/>
      <rgbColor rgb="FFBFBFBF"/>
      <rgbColor rgb="FF808080"/>
      <rgbColor rgb="FFA5A5A5"/>
      <rgbColor rgb="FF993366"/>
      <rgbColor rgb="FFFFFFCC"/>
      <rgbColor rgb="FFCCFFFF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ED7D31"/>
      <rgbColor rgb="FF666699"/>
      <rgbColor rgb="FF8B8B8B"/>
      <rgbColor rgb="FF003366"/>
      <rgbColor rgb="FF00B050"/>
      <rgbColor rgb="FF003300"/>
      <rgbColor rgb="FF333300"/>
      <rgbColor rgb="FF993300"/>
      <rgbColor rgb="FF993366"/>
      <rgbColor rgb="FF333399"/>
      <rgbColor rgb="FF1F1F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BB5-42E8-8DD5-6C00F19A38C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BB5-42E8-8DD5-6C00F19A38C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BB5-42E8-8DD5-6C00F19A38CB}"/>
              </c:ext>
            </c:extLst>
          </c:dPt>
          <c:dPt>
            <c:idx val="3"/>
            <c:bubble3D val="0"/>
            <c:spPr>
              <a:solidFill>
                <a:srgbClr val="A5A5A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BB5-42E8-8DD5-6C00F19A38CB}"/>
              </c:ext>
            </c:extLst>
          </c:dPt>
          <c:dPt>
            <c:idx val="4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BB5-42E8-8DD5-6C00F19A38C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B5-42E8-8DD5-6C00F19A38C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B5-42E8-8DD5-6C00F19A38C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B5-42E8-8DD5-6C00F19A38C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B5-42E8-8DD5-6C00F19A38C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B5-42E8-8DD5-6C00F19A38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Summary!$A$11:$A$15</c:f>
              <c:strCache>
                <c:ptCount val="5"/>
                <c:pt idx="0">
                  <c:v>Under Activation</c:v>
                </c:pt>
                <c:pt idx="1">
                  <c:v>Under TWAL Approval</c:v>
                </c:pt>
                <c:pt idx="2">
                  <c:v>Under MW Installation</c:v>
                </c:pt>
                <c:pt idx="3">
                  <c:v>Not Yet Set</c:v>
                </c:pt>
                <c:pt idx="4">
                  <c:v>Delivered</c:v>
                </c:pt>
              </c:strCache>
            </c:strRef>
          </c:cat>
          <c:val>
            <c:numRef>
              <c:f>Summary!$B$11:$B$15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B5-42E8-8DD5-6C00F19A3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Region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Summary!$E$11:$E$13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Not Specified</c:v>
                </c:pt>
              </c:strCache>
            </c:strRef>
          </c:cat>
          <c:val>
            <c:numRef>
              <c:f>Summary!$F$11:$F$13</c:f>
              <c:numCache>
                <c:formatCode>General</c:formatCode>
                <c:ptCount val="3"/>
                <c:pt idx="0">
                  <c:v>22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4-4FD0-A60C-74A9A30AF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9692"/>
        <c:axId val="71024064"/>
      </c:barChart>
      <c:catAx>
        <c:axId val="20596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024064"/>
        <c:crosses val="autoZero"/>
        <c:auto val="1"/>
        <c:lblAlgn val="ctr"/>
        <c:lblOffset val="100"/>
        <c:noMultiLvlLbl val="0"/>
      </c:catAx>
      <c:valAx>
        <c:axId val="7102406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596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City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Summary!$A$22:$A$26</c:f>
              <c:strCache>
                <c:ptCount val="5"/>
                <c:pt idx="0">
                  <c:v>RIYADHDST</c:v>
                </c:pt>
                <c:pt idx="1">
                  <c:v>QASSIM</c:v>
                </c:pt>
                <c:pt idx="2">
                  <c:v>RIYADH</c:v>
                </c:pt>
                <c:pt idx="3">
                  <c:v>ALAHSA</c:v>
                </c:pt>
                <c:pt idx="4">
                  <c:v>Not Specified</c:v>
                </c:pt>
              </c:strCache>
            </c:strRef>
          </c:cat>
          <c:val>
            <c:numRef>
              <c:f>Summary!$B$22:$B$26</c:f>
              <c:numCache>
                <c:formatCode>General</c:formatCode>
                <c:ptCount val="5"/>
                <c:pt idx="0">
                  <c:v>11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0-4854-92C6-79C165659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38744"/>
        <c:axId val="83422732"/>
      </c:barChart>
      <c:catAx>
        <c:axId val="64838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422732"/>
        <c:crosses val="autoZero"/>
        <c:auto val="1"/>
        <c:lblAlgn val="ctr"/>
        <c:lblOffset val="100"/>
        <c:noMultiLvlLbl val="0"/>
      </c:catAx>
      <c:valAx>
        <c:axId val="8342273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387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LOS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FC2-4C8E-B48B-4DB48533F7C0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FC2-4C8E-B48B-4DB48533F7C0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FC2-4C8E-B48B-4DB48533F7C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C2-4C8E-B48B-4DB48533F7C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C2-4C8E-B48B-4DB48533F7C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C2-4C8E-B48B-4DB48533F7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Summary!$E$22:$E$24</c:f>
              <c:strCache>
                <c:ptCount val="3"/>
                <c:pt idx="0">
                  <c:v>CLOS</c:v>
                </c:pt>
                <c:pt idx="1">
                  <c:v>Pending</c:v>
                </c:pt>
                <c:pt idx="2">
                  <c:v>Not Started</c:v>
                </c:pt>
              </c:strCache>
            </c:strRef>
          </c:cat>
          <c:val>
            <c:numRef>
              <c:f>Summary!$F$22:$F$24</c:f>
              <c:numCache>
                <c:formatCode>General</c:formatCode>
                <c:ptCount val="3"/>
                <c:pt idx="0">
                  <c:v>22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C2-4C8E-B48B-4DB48533F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Bandwidth (BW)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Summary!$A$31:$A$37</c:f>
              <c:strCache>
                <c:ptCount val="7"/>
                <c:pt idx="0">
                  <c:v>100Mbps</c:v>
                </c:pt>
                <c:pt idx="1">
                  <c:v>25MBPs</c:v>
                </c:pt>
                <c:pt idx="2">
                  <c:v>20MBPs</c:v>
                </c:pt>
                <c:pt idx="3">
                  <c:v>8MBPs</c:v>
                </c:pt>
                <c:pt idx="4">
                  <c:v>6MBPs</c:v>
                </c:pt>
                <c:pt idx="5">
                  <c:v>4MBPs</c:v>
                </c:pt>
                <c:pt idx="6">
                  <c:v>Not Specified</c:v>
                </c:pt>
              </c:strCache>
            </c:strRef>
          </c:cat>
          <c:val>
            <c:numRef>
              <c:f>Summary!$B$31:$B$37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D-4CD9-9F6D-1A020EA04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08561"/>
        <c:axId val="73436081"/>
      </c:barChart>
      <c:catAx>
        <c:axId val="857085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436081"/>
        <c:crosses val="autoZero"/>
        <c:auto val="1"/>
        <c:lblAlgn val="ctr"/>
        <c:lblOffset val="100"/>
        <c:noMultiLvlLbl val="0"/>
      </c:catAx>
      <c:valAx>
        <c:axId val="7343608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08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7</xdr:row>
      <xdr:rowOff>175320</xdr:rowOff>
    </xdr:from>
    <xdr:to>
      <xdr:col>12</xdr:col>
      <xdr:colOff>577440</xdr:colOff>
      <xdr:row>24</xdr:row>
      <xdr:rowOff>73440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83880</xdr:colOff>
      <xdr:row>25</xdr:row>
      <xdr:rowOff>4680</xdr:rowOff>
    </xdr:from>
    <xdr:to>
      <xdr:col>11</xdr:col>
      <xdr:colOff>507600</xdr:colOff>
      <xdr:row>39</xdr:row>
      <xdr:rowOff>143280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579240</xdr:colOff>
      <xdr:row>25</xdr:row>
      <xdr:rowOff>17280</xdr:rowOff>
    </xdr:from>
    <xdr:to>
      <xdr:col>17</xdr:col>
      <xdr:colOff>82275</xdr:colOff>
      <xdr:row>39</xdr:row>
      <xdr:rowOff>119160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716400</xdr:colOff>
      <xdr:row>7</xdr:row>
      <xdr:rowOff>167760</xdr:rowOff>
    </xdr:from>
    <xdr:to>
      <xdr:col>17</xdr:col>
      <xdr:colOff>73395</xdr:colOff>
      <xdr:row>24</xdr:row>
      <xdr:rowOff>65880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68760</xdr:colOff>
      <xdr:row>40</xdr:row>
      <xdr:rowOff>57960</xdr:rowOff>
    </xdr:from>
    <xdr:to>
      <xdr:col>10</xdr:col>
      <xdr:colOff>355680</xdr:colOff>
      <xdr:row>55</xdr:row>
      <xdr:rowOff>43920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topLeftCell="N1" zoomScale="70" zoomScaleNormal="70" workbookViewId="0">
      <selection activeCell="T39" sqref="T39"/>
    </sheetView>
  </sheetViews>
  <sheetFormatPr defaultColWidth="9.109375" defaultRowHeight="14.4"/>
  <cols>
    <col min="1" max="1" width="9.109375" style="1"/>
    <col min="2" max="3" width="38.5546875" style="1" customWidth="1"/>
    <col min="4" max="4" width="12.21875" style="1" customWidth="1"/>
    <col min="5" max="5" width="10.88671875" style="1" customWidth="1"/>
    <col min="6" max="6" width="37.44140625" style="1" customWidth="1"/>
    <col min="7" max="7" width="27.109375" style="2" customWidth="1"/>
    <col min="8" max="8" width="59.109375" style="1" customWidth="1"/>
    <col min="9" max="9" width="53.5546875" style="1" customWidth="1"/>
    <col min="10" max="10" width="10.88671875" style="1" customWidth="1"/>
    <col min="11" max="11" width="18" style="1" customWidth="1"/>
    <col min="12" max="12" width="14.6640625" style="1" customWidth="1"/>
    <col min="13" max="13" width="32.6640625" style="1" customWidth="1"/>
    <col min="14" max="14" width="15.6640625" style="1" customWidth="1"/>
    <col min="15" max="15" width="22.5546875" style="1" customWidth="1"/>
    <col min="16" max="16" width="25.88671875" style="1" customWidth="1"/>
    <col min="17" max="18" width="15.44140625" style="1" customWidth="1"/>
    <col min="19" max="19" width="14.44140625" style="1" customWidth="1"/>
    <col min="20" max="20" width="91.77734375" style="1" customWidth="1"/>
    <col min="21" max="21" width="18.109375" style="1" customWidth="1"/>
    <col min="22" max="16384" width="9.109375" style="1"/>
  </cols>
  <sheetData>
    <row r="1" spans="1:21" s="5" customFormat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193</v>
      </c>
      <c r="S1" s="3" t="s">
        <v>194</v>
      </c>
      <c r="T1" s="3" t="s">
        <v>17</v>
      </c>
      <c r="U1" s="3" t="s">
        <v>18</v>
      </c>
    </row>
    <row r="2" spans="1:21" s="51" customFormat="1" ht="14.25" customHeight="1">
      <c r="A2" s="41">
        <v>1</v>
      </c>
      <c r="B2" s="41" t="s">
        <v>19</v>
      </c>
      <c r="C2" s="69">
        <v>46205</v>
      </c>
      <c r="D2" s="40" t="s">
        <v>20</v>
      </c>
      <c r="E2" s="40" t="s">
        <v>21</v>
      </c>
      <c r="F2" s="42" t="s">
        <v>22</v>
      </c>
      <c r="G2" s="43" t="s">
        <v>23</v>
      </c>
      <c r="H2" s="40" t="s">
        <v>24</v>
      </c>
      <c r="I2" s="49" t="s">
        <v>25</v>
      </c>
      <c r="J2" s="40" t="s">
        <v>26</v>
      </c>
      <c r="K2" s="69">
        <v>46208</v>
      </c>
      <c r="L2" s="40" t="s">
        <v>27</v>
      </c>
      <c r="M2" s="40" t="s">
        <v>28</v>
      </c>
      <c r="N2" s="76">
        <v>46216</v>
      </c>
      <c r="O2" s="76">
        <v>46231</v>
      </c>
      <c r="P2" s="76">
        <v>46232</v>
      </c>
      <c r="Q2" s="76">
        <v>46232</v>
      </c>
      <c r="R2" s="44"/>
      <c r="S2" s="44" t="s">
        <v>195</v>
      </c>
      <c r="T2" s="40" t="s">
        <v>46</v>
      </c>
      <c r="U2" s="45" t="s">
        <v>30</v>
      </c>
    </row>
    <row r="3" spans="1:21" s="51" customFormat="1" ht="14.25" customHeight="1">
      <c r="A3" s="40">
        <v>2</v>
      </c>
      <c r="B3" s="41" t="s">
        <v>31</v>
      </c>
      <c r="C3" s="69">
        <v>46205</v>
      </c>
      <c r="D3" s="40" t="s">
        <v>20</v>
      </c>
      <c r="E3" s="40" t="s">
        <v>32</v>
      </c>
      <c r="F3" s="42" t="s">
        <v>33</v>
      </c>
      <c r="G3" s="43" t="s">
        <v>34</v>
      </c>
      <c r="H3" s="40" t="s">
        <v>35</v>
      </c>
      <c r="I3" s="49" t="s">
        <v>36</v>
      </c>
      <c r="J3" s="40" t="s">
        <v>37</v>
      </c>
      <c r="K3" s="69">
        <v>46208</v>
      </c>
      <c r="L3" s="40" t="s">
        <v>27</v>
      </c>
      <c r="M3" s="40" t="s">
        <v>38</v>
      </c>
      <c r="N3" s="76">
        <v>46216</v>
      </c>
      <c r="O3" s="76">
        <v>46226</v>
      </c>
      <c r="P3" s="76">
        <v>46228</v>
      </c>
      <c r="Q3" s="76">
        <v>46228</v>
      </c>
      <c r="R3" s="44"/>
      <c r="S3" s="44" t="s">
        <v>195</v>
      </c>
      <c r="T3" s="50" t="s">
        <v>46</v>
      </c>
      <c r="U3" s="45" t="s">
        <v>30</v>
      </c>
    </row>
    <row r="4" spans="1:21" s="51" customFormat="1" ht="14.25" customHeight="1">
      <c r="A4" s="40">
        <v>3</v>
      </c>
      <c r="B4" s="41" t="s">
        <v>39</v>
      </c>
      <c r="C4" s="69">
        <v>46211</v>
      </c>
      <c r="D4" s="40" t="s">
        <v>20</v>
      </c>
      <c r="E4" s="40" t="s">
        <v>32</v>
      </c>
      <c r="F4" s="42" t="s">
        <v>40</v>
      </c>
      <c r="G4" s="43" t="s">
        <v>41</v>
      </c>
      <c r="H4" s="40" t="s">
        <v>42</v>
      </c>
      <c r="I4" s="40" t="s">
        <v>43</v>
      </c>
      <c r="J4" s="40" t="s">
        <v>44</v>
      </c>
      <c r="K4" s="69">
        <v>46212</v>
      </c>
      <c r="L4" s="40" t="s">
        <v>27</v>
      </c>
      <c r="M4" s="40" t="s">
        <v>45</v>
      </c>
      <c r="N4" s="76">
        <v>46222</v>
      </c>
      <c r="O4" s="76">
        <v>46228</v>
      </c>
      <c r="P4" s="76">
        <v>46229</v>
      </c>
      <c r="Q4" s="76">
        <v>46229</v>
      </c>
      <c r="R4" s="44"/>
      <c r="S4" s="44" t="s">
        <v>195</v>
      </c>
      <c r="T4" s="11" t="s">
        <v>46</v>
      </c>
      <c r="U4" s="45" t="s">
        <v>47</v>
      </c>
    </row>
    <row r="5" spans="1:21" s="5" customFormat="1" ht="14.25" customHeight="1">
      <c r="A5" s="40">
        <v>4</v>
      </c>
      <c r="B5" s="41" t="s">
        <v>48</v>
      </c>
      <c r="C5" s="69">
        <v>46211</v>
      </c>
      <c r="D5" s="40" t="s">
        <v>20</v>
      </c>
      <c r="E5" s="40" t="s">
        <v>21</v>
      </c>
      <c r="F5" s="42" t="s">
        <v>49</v>
      </c>
      <c r="G5" s="43" t="s">
        <v>50</v>
      </c>
      <c r="H5" s="40" t="s">
        <v>42</v>
      </c>
      <c r="I5" s="40" t="s">
        <v>165</v>
      </c>
      <c r="J5" s="40" t="s">
        <v>44</v>
      </c>
      <c r="K5" s="69">
        <v>46216</v>
      </c>
      <c r="L5" s="40" t="s">
        <v>27</v>
      </c>
      <c r="M5" s="40" t="s">
        <v>51</v>
      </c>
      <c r="N5" s="76">
        <v>46230</v>
      </c>
      <c r="O5" s="76">
        <v>46243</v>
      </c>
      <c r="P5" s="76">
        <v>46243</v>
      </c>
      <c r="Q5" s="76">
        <v>46243</v>
      </c>
      <c r="R5" s="45"/>
      <c r="S5" s="45"/>
      <c r="T5" s="40" t="s">
        <v>46</v>
      </c>
      <c r="U5" s="45" t="s">
        <v>30</v>
      </c>
    </row>
    <row r="6" spans="1:21" s="5" customFormat="1" ht="15" customHeight="1">
      <c r="A6" s="8">
        <v>5</v>
      </c>
      <c r="B6" s="6" t="s">
        <v>52</v>
      </c>
      <c r="C6" s="71">
        <v>46213</v>
      </c>
      <c r="D6" s="8" t="s">
        <v>20</v>
      </c>
      <c r="E6" s="8" t="s">
        <v>21</v>
      </c>
      <c r="F6" s="9" t="s">
        <v>53</v>
      </c>
      <c r="G6" s="10" t="s">
        <v>54</v>
      </c>
      <c r="H6" s="8" t="s">
        <v>55</v>
      </c>
      <c r="I6" s="8" t="s">
        <v>56</v>
      </c>
      <c r="J6" s="8" t="s">
        <v>57</v>
      </c>
      <c r="K6" s="71">
        <v>46216</v>
      </c>
      <c r="L6" s="8" t="s">
        <v>27</v>
      </c>
      <c r="M6" s="8" t="s">
        <v>58</v>
      </c>
      <c r="N6" s="78">
        <v>46244</v>
      </c>
      <c r="O6" s="78"/>
      <c r="P6" s="78"/>
      <c r="Q6" s="78"/>
      <c r="T6" s="8" t="s">
        <v>201</v>
      </c>
      <c r="U6" s="5" t="s">
        <v>30</v>
      </c>
    </row>
    <row r="7" spans="1:21" s="5" customFormat="1" ht="13.8" customHeight="1">
      <c r="A7" s="40">
        <v>6</v>
      </c>
      <c r="B7" s="41" t="s">
        <v>60</v>
      </c>
      <c r="C7" s="69">
        <v>46234</v>
      </c>
      <c r="D7" s="40" t="s">
        <v>20</v>
      </c>
      <c r="E7" s="40" t="s">
        <v>32</v>
      </c>
      <c r="F7" s="42" t="s">
        <v>61</v>
      </c>
      <c r="G7" s="43" t="s">
        <v>62</v>
      </c>
      <c r="H7" s="40" t="s">
        <v>55</v>
      </c>
      <c r="I7" s="40" t="s">
        <v>56</v>
      </c>
      <c r="J7" s="40" t="s">
        <v>63</v>
      </c>
      <c r="K7" s="69">
        <v>46216</v>
      </c>
      <c r="L7" s="40" t="s">
        <v>27</v>
      </c>
      <c r="M7" s="40" t="s">
        <v>64</v>
      </c>
      <c r="N7" s="76">
        <v>46234</v>
      </c>
      <c r="O7" s="76">
        <v>46236</v>
      </c>
      <c r="P7" s="76">
        <v>46236</v>
      </c>
      <c r="Q7" s="76">
        <v>46206</v>
      </c>
      <c r="R7" s="44"/>
      <c r="S7" s="44" t="s">
        <v>195</v>
      </c>
      <c r="T7" s="40" t="s">
        <v>142</v>
      </c>
      <c r="U7" s="45" t="s">
        <v>30</v>
      </c>
    </row>
    <row r="8" spans="1:21" s="5" customFormat="1" ht="14.25" customHeight="1">
      <c r="A8" s="8">
        <v>7</v>
      </c>
      <c r="B8" s="6" t="s">
        <v>65</v>
      </c>
      <c r="C8" s="71">
        <v>46215</v>
      </c>
      <c r="D8" s="8" t="s">
        <v>20</v>
      </c>
      <c r="E8" s="8" t="s">
        <v>32</v>
      </c>
      <c r="F8" s="9" t="s">
        <v>66</v>
      </c>
      <c r="G8" s="10" t="s">
        <v>67</v>
      </c>
      <c r="H8" s="8" t="s">
        <v>55</v>
      </c>
      <c r="I8" s="8" t="s">
        <v>56</v>
      </c>
      <c r="J8" s="8" t="s">
        <v>57</v>
      </c>
      <c r="K8" s="71">
        <v>46216</v>
      </c>
      <c r="L8" s="8" t="s">
        <v>27</v>
      </c>
      <c r="M8" s="8" t="s">
        <v>45</v>
      </c>
      <c r="N8" s="78"/>
      <c r="O8" s="78"/>
      <c r="P8" s="78"/>
      <c r="Q8" s="78"/>
      <c r="T8" s="8" t="s">
        <v>59</v>
      </c>
    </row>
    <row r="9" spans="1:21" s="51" customFormat="1" ht="14.25" customHeight="1">
      <c r="A9" s="40">
        <v>8</v>
      </c>
      <c r="B9" s="41" t="s">
        <v>69</v>
      </c>
      <c r="C9" s="69">
        <v>46224</v>
      </c>
      <c r="D9" s="59" t="s">
        <v>20</v>
      </c>
      <c r="E9" s="40" t="s">
        <v>70</v>
      </c>
      <c r="F9" s="40" t="s">
        <v>71</v>
      </c>
      <c r="G9" s="43" t="s">
        <v>185</v>
      </c>
      <c r="H9" s="40" t="s">
        <v>166</v>
      </c>
      <c r="I9" s="40" t="s">
        <v>167</v>
      </c>
      <c r="J9" s="40" t="s">
        <v>72</v>
      </c>
      <c r="K9" s="69">
        <v>46224</v>
      </c>
      <c r="L9" s="40" t="s">
        <v>27</v>
      </c>
      <c r="M9" s="40" t="s">
        <v>73</v>
      </c>
      <c r="N9" s="76">
        <v>46226</v>
      </c>
      <c r="O9" s="76">
        <v>46226</v>
      </c>
      <c r="P9" s="76">
        <v>46226</v>
      </c>
      <c r="Q9" s="76">
        <v>46237</v>
      </c>
      <c r="R9" s="44" t="s">
        <v>192</v>
      </c>
      <c r="S9" s="44" t="s">
        <v>195</v>
      </c>
      <c r="T9" s="60" t="s">
        <v>46</v>
      </c>
      <c r="U9" s="45" t="s">
        <v>30</v>
      </c>
    </row>
    <row r="10" spans="1:21" s="5" customFormat="1" ht="14.25" customHeight="1">
      <c r="A10" s="8">
        <v>9</v>
      </c>
      <c r="B10" s="6" t="s">
        <v>74</v>
      </c>
      <c r="C10" s="71">
        <v>46219</v>
      </c>
      <c r="D10" s="13" t="s">
        <v>20</v>
      </c>
      <c r="E10" s="14" t="s">
        <v>32</v>
      </c>
      <c r="F10" s="9" t="s">
        <v>75</v>
      </c>
      <c r="G10" s="10" t="s">
        <v>76</v>
      </c>
      <c r="H10" s="8" t="s">
        <v>55</v>
      </c>
      <c r="I10" s="8" t="s">
        <v>56</v>
      </c>
      <c r="J10" s="8" t="s">
        <v>57</v>
      </c>
      <c r="K10" s="71">
        <v>46223</v>
      </c>
      <c r="L10" s="8" t="s">
        <v>27</v>
      </c>
      <c r="M10" s="8" t="s">
        <v>77</v>
      </c>
      <c r="N10" s="78"/>
      <c r="O10" s="78"/>
      <c r="P10" s="78"/>
      <c r="Q10" s="78"/>
      <c r="T10" s="8" t="s">
        <v>59</v>
      </c>
    </row>
    <row r="11" spans="1:21" s="51" customFormat="1" ht="14.25" customHeight="1">
      <c r="A11" s="40">
        <v>10</v>
      </c>
      <c r="B11" s="41" t="s">
        <v>78</v>
      </c>
      <c r="C11" s="69">
        <v>46216</v>
      </c>
      <c r="D11" s="59" t="s">
        <v>20</v>
      </c>
      <c r="E11" s="40" t="s">
        <v>70</v>
      </c>
      <c r="F11" s="42" t="s">
        <v>79</v>
      </c>
      <c r="G11" s="43" t="s">
        <v>80</v>
      </c>
      <c r="H11" s="40" t="s">
        <v>81</v>
      </c>
      <c r="I11" s="40" t="s">
        <v>82</v>
      </c>
      <c r="J11" s="40" t="s">
        <v>83</v>
      </c>
      <c r="K11" s="69">
        <v>46216</v>
      </c>
      <c r="L11" s="40" t="s">
        <v>27</v>
      </c>
      <c r="M11" s="40" t="s">
        <v>84</v>
      </c>
      <c r="N11" s="76">
        <v>46219</v>
      </c>
      <c r="O11" s="76">
        <v>46223</v>
      </c>
      <c r="P11" s="76">
        <v>46223</v>
      </c>
      <c r="Q11" s="76">
        <v>46223</v>
      </c>
      <c r="R11" s="44"/>
      <c r="S11" s="44"/>
      <c r="T11" s="50" t="s">
        <v>85</v>
      </c>
      <c r="U11" s="45" t="s">
        <v>30</v>
      </c>
    </row>
    <row r="12" spans="1:21" s="5" customFormat="1" ht="14.25" customHeight="1">
      <c r="A12" s="52">
        <v>11</v>
      </c>
      <c r="B12" s="53" t="s">
        <v>86</v>
      </c>
      <c r="C12" s="70">
        <v>46216</v>
      </c>
      <c r="D12" s="58" t="s">
        <v>20</v>
      </c>
      <c r="E12" s="52" t="s">
        <v>70</v>
      </c>
      <c r="F12" s="54" t="s">
        <v>87</v>
      </c>
      <c r="G12" s="55" t="s">
        <v>88</v>
      </c>
      <c r="H12" s="52" t="s">
        <v>81</v>
      </c>
      <c r="I12" s="52" t="s">
        <v>89</v>
      </c>
      <c r="J12" s="52" t="s">
        <v>83</v>
      </c>
      <c r="K12" s="70">
        <v>46216</v>
      </c>
      <c r="L12" s="52" t="s">
        <v>27</v>
      </c>
      <c r="M12" s="52" t="s">
        <v>90</v>
      </c>
      <c r="N12" s="77">
        <v>46219</v>
      </c>
      <c r="O12" s="77">
        <v>46226</v>
      </c>
      <c r="P12" s="77"/>
      <c r="Q12" s="77"/>
      <c r="R12" s="56"/>
      <c r="S12" s="56"/>
      <c r="T12" s="52" t="s">
        <v>91</v>
      </c>
      <c r="U12" s="57" t="s">
        <v>30</v>
      </c>
    </row>
    <row r="13" spans="1:21" s="51" customFormat="1" ht="14.25" customHeight="1">
      <c r="A13" s="40">
        <v>12</v>
      </c>
      <c r="B13" s="62" t="s">
        <v>92</v>
      </c>
      <c r="C13" s="72">
        <v>46216</v>
      </c>
      <c r="D13" s="63" t="s">
        <v>20</v>
      </c>
      <c r="E13" s="60" t="s">
        <v>32</v>
      </c>
      <c r="F13" s="64" t="s">
        <v>93</v>
      </c>
      <c r="G13" s="65" t="s">
        <v>94</v>
      </c>
      <c r="H13" s="60" t="s">
        <v>81</v>
      </c>
      <c r="I13" s="60" t="s">
        <v>89</v>
      </c>
      <c r="J13" s="60" t="s">
        <v>83</v>
      </c>
      <c r="K13" s="72">
        <v>46216</v>
      </c>
      <c r="L13" s="60" t="s">
        <v>27</v>
      </c>
      <c r="M13" s="60" t="s">
        <v>95</v>
      </c>
      <c r="N13" s="79">
        <v>46219</v>
      </c>
      <c r="O13" s="79">
        <v>46220</v>
      </c>
      <c r="P13" s="79">
        <v>46223</v>
      </c>
      <c r="Q13" s="79">
        <v>46227</v>
      </c>
      <c r="R13" s="67"/>
      <c r="S13" s="67"/>
      <c r="T13" s="68" t="s">
        <v>85</v>
      </c>
      <c r="U13" s="66" t="s">
        <v>30</v>
      </c>
    </row>
    <row r="14" spans="1:21" s="5" customFormat="1" ht="14.25" customHeight="1">
      <c r="A14" s="8">
        <v>13</v>
      </c>
      <c r="B14" s="6" t="s">
        <v>96</v>
      </c>
      <c r="C14" s="71">
        <v>46177</v>
      </c>
      <c r="D14" s="13" t="s">
        <v>97</v>
      </c>
      <c r="E14" s="8" t="s">
        <v>98</v>
      </c>
      <c r="F14" s="9" t="s">
        <v>99</v>
      </c>
      <c r="G14" s="10" t="s">
        <v>100</v>
      </c>
      <c r="H14" s="8" t="s">
        <v>81</v>
      </c>
      <c r="I14" s="8" t="s">
        <v>82</v>
      </c>
      <c r="J14" s="8" t="s">
        <v>83</v>
      </c>
      <c r="K14" s="71"/>
      <c r="L14" s="8" t="s">
        <v>27</v>
      </c>
      <c r="M14" s="8" t="s">
        <v>101</v>
      </c>
      <c r="N14" s="78"/>
      <c r="O14" s="78"/>
      <c r="P14" s="78"/>
      <c r="Q14" s="78"/>
      <c r="T14" s="8" t="s">
        <v>29</v>
      </c>
    </row>
    <row r="15" spans="1:21" s="5" customFormat="1" ht="14.25" customHeight="1">
      <c r="A15" s="8">
        <v>14</v>
      </c>
      <c r="B15" s="6" t="s">
        <v>102</v>
      </c>
      <c r="C15" s="71">
        <v>46222</v>
      </c>
      <c r="D15" s="8" t="s">
        <v>20</v>
      </c>
      <c r="E15" s="8" t="s">
        <v>32</v>
      </c>
      <c r="F15" s="8" t="s">
        <v>103</v>
      </c>
      <c r="G15" s="10" t="s">
        <v>104</v>
      </c>
      <c r="H15" s="8" t="s">
        <v>105</v>
      </c>
      <c r="I15" s="8" t="s">
        <v>106</v>
      </c>
      <c r="J15" s="8" t="s">
        <v>107</v>
      </c>
      <c r="K15" s="71">
        <v>46223</v>
      </c>
      <c r="L15" s="8" t="s">
        <v>27</v>
      </c>
      <c r="M15" s="8" t="s">
        <v>108</v>
      </c>
      <c r="N15" s="7"/>
      <c r="O15" s="7"/>
      <c r="P15" s="7"/>
      <c r="Q15" s="7"/>
      <c r="R15" s="8"/>
      <c r="S15" s="8"/>
      <c r="T15" s="8" t="s">
        <v>59</v>
      </c>
    </row>
    <row r="16" spans="1:21" s="5" customFormat="1" ht="14.25" customHeight="1">
      <c r="A16" s="8">
        <v>15</v>
      </c>
      <c r="B16" s="6" t="s">
        <v>109</v>
      </c>
      <c r="C16" s="71">
        <v>46222</v>
      </c>
      <c r="D16" s="8" t="s">
        <v>20</v>
      </c>
      <c r="E16" s="8" t="s">
        <v>32</v>
      </c>
      <c r="F16" s="8" t="s">
        <v>110</v>
      </c>
      <c r="G16" s="15" t="s">
        <v>111</v>
      </c>
      <c r="H16" s="8" t="s">
        <v>55</v>
      </c>
      <c r="I16" s="8" t="s">
        <v>106</v>
      </c>
      <c r="J16" s="8" t="s">
        <v>107</v>
      </c>
      <c r="K16" s="71">
        <v>46223</v>
      </c>
      <c r="L16" s="8" t="s">
        <v>27</v>
      </c>
      <c r="M16" s="8" t="s">
        <v>112</v>
      </c>
      <c r="N16" s="78">
        <v>46243</v>
      </c>
      <c r="O16" s="78">
        <v>46244</v>
      </c>
      <c r="P16" s="78">
        <v>46245</v>
      </c>
      <c r="Q16" s="7"/>
      <c r="R16" s="8"/>
      <c r="S16" s="8"/>
      <c r="T16" s="8" t="s">
        <v>212</v>
      </c>
      <c r="U16" s="5" t="s">
        <v>30</v>
      </c>
    </row>
    <row r="17" spans="1:21" s="5" customFormat="1" ht="14.25" customHeight="1">
      <c r="A17" s="8">
        <v>16</v>
      </c>
      <c r="B17" s="8" t="s">
        <v>113</v>
      </c>
      <c r="C17" s="71">
        <v>46229</v>
      </c>
      <c r="D17" s="8" t="s">
        <v>20</v>
      </c>
      <c r="E17" s="8" t="s">
        <v>21</v>
      </c>
      <c r="F17" s="8" t="s">
        <v>114</v>
      </c>
      <c r="G17" s="10" t="s">
        <v>115</v>
      </c>
      <c r="H17" s="8" t="s">
        <v>116</v>
      </c>
      <c r="I17" s="8" t="s">
        <v>106</v>
      </c>
      <c r="J17" s="8" t="s">
        <v>107</v>
      </c>
      <c r="K17" s="71">
        <v>46231</v>
      </c>
      <c r="L17" s="8" t="s">
        <v>27</v>
      </c>
      <c r="M17" s="8" t="s">
        <v>117</v>
      </c>
      <c r="N17" s="7"/>
      <c r="O17" s="7"/>
      <c r="P17" s="7"/>
      <c r="Q17" s="7"/>
      <c r="R17" s="8"/>
      <c r="S17" s="8"/>
      <c r="T17" s="8" t="s">
        <v>59</v>
      </c>
      <c r="U17" s="8"/>
    </row>
    <row r="18" spans="1:21" s="5" customFormat="1">
      <c r="A18" s="8">
        <v>17</v>
      </c>
      <c r="B18" s="8" t="s">
        <v>118</v>
      </c>
      <c r="C18" s="73">
        <v>46229</v>
      </c>
      <c r="D18" s="8" t="s">
        <v>20</v>
      </c>
      <c r="E18" s="8" t="s">
        <v>119</v>
      </c>
      <c r="F18" s="8" t="s">
        <v>120</v>
      </c>
      <c r="G18" s="10" t="s">
        <v>121</v>
      </c>
      <c r="H18" s="8" t="s">
        <v>116</v>
      </c>
      <c r="I18" s="16" t="s">
        <v>106</v>
      </c>
      <c r="J18" s="8" t="s">
        <v>107</v>
      </c>
      <c r="K18" s="71">
        <v>46231</v>
      </c>
      <c r="L18" s="8" t="s">
        <v>27</v>
      </c>
      <c r="M18" s="8" t="s">
        <v>122</v>
      </c>
      <c r="N18" s="7"/>
      <c r="O18" s="7"/>
      <c r="P18" s="7"/>
      <c r="Q18" s="7"/>
      <c r="R18" s="8"/>
      <c r="S18" s="8"/>
      <c r="T18" s="8" t="s">
        <v>59</v>
      </c>
      <c r="U18" s="8"/>
    </row>
    <row r="19" spans="1:21" s="51" customFormat="1" ht="14.25" customHeight="1">
      <c r="A19" s="40">
        <v>18</v>
      </c>
      <c r="B19" s="40" t="s">
        <v>173</v>
      </c>
      <c r="C19" s="69">
        <v>46232</v>
      </c>
      <c r="D19" s="40" t="s">
        <v>20</v>
      </c>
      <c r="E19" s="40" t="s">
        <v>70</v>
      </c>
      <c r="F19" s="40" t="s">
        <v>168</v>
      </c>
      <c r="G19" s="43" t="s">
        <v>169</v>
      </c>
      <c r="H19" s="40" t="s">
        <v>170</v>
      </c>
      <c r="I19" s="40" t="s">
        <v>171</v>
      </c>
      <c r="J19" s="40" t="s">
        <v>72</v>
      </c>
      <c r="K19" s="69">
        <v>46232</v>
      </c>
      <c r="L19" s="40" t="s">
        <v>27</v>
      </c>
      <c r="M19" s="40" t="s">
        <v>198</v>
      </c>
      <c r="N19" s="76">
        <v>46233</v>
      </c>
      <c r="O19" s="76">
        <v>46233</v>
      </c>
      <c r="P19" s="76">
        <v>46233</v>
      </c>
      <c r="Q19" s="76">
        <v>46236</v>
      </c>
      <c r="R19" s="44"/>
      <c r="S19" s="44" t="s">
        <v>195</v>
      </c>
      <c r="T19" s="40" t="s">
        <v>46</v>
      </c>
      <c r="U19" s="45" t="s">
        <v>30</v>
      </c>
    </row>
    <row r="20" spans="1:21" s="51" customFormat="1" ht="14.25" customHeight="1">
      <c r="A20" s="40">
        <v>19</v>
      </c>
      <c r="B20" s="40" t="s">
        <v>181</v>
      </c>
      <c r="C20" s="74">
        <v>46234</v>
      </c>
      <c r="D20" s="48" t="s">
        <v>20</v>
      </c>
      <c r="E20" s="48" t="s">
        <v>32</v>
      </c>
      <c r="F20" s="48" t="s">
        <v>174</v>
      </c>
      <c r="G20" s="48" t="s">
        <v>176</v>
      </c>
      <c r="H20" s="48" t="s">
        <v>178</v>
      </c>
      <c r="I20" s="48" t="s">
        <v>179</v>
      </c>
      <c r="J20" s="48" t="s">
        <v>180</v>
      </c>
      <c r="K20" s="69">
        <v>46231</v>
      </c>
      <c r="L20" s="40" t="s">
        <v>27</v>
      </c>
      <c r="M20" s="48" t="s">
        <v>175</v>
      </c>
      <c r="N20" s="80">
        <v>46234</v>
      </c>
      <c r="O20" s="76">
        <v>46235</v>
      </c>
      <c r="P20" s="76">
        <v>46236</v>
      </c>
      <c r="Q20" s="76">
        <v>46236</v>
      </c>
      <c r="R20" s="44"/>
      <c r="S20" s="44" t="s">
        <v>195</v>
      </c>
      <c r="T20" s="40" t="s">
        <v>142</v>
      </c>
      <c r="U20" s="45" t="s">
        <v>47</v>
      </c>
    </row>
    <row r="21" spans="1:21" s="5" customFormat="1" ht="14.25" customHeight="1">
      <c r="A21" s="40">
        <v>20</v>
      </c>
      <c r="B21" s="40" t="s">
        <v>182</v>
      </c>
      <c r="C21" s="74">
        <v>46234</v>
      </c>
      <c r="D21" s="82" t="s">
        <v>20</v>
      </c>
      <c r="E21" s="82" t="s">
        <v>32</v>
      </c>
      <c r="F21" s="48" t="s">
        <v>66</v>
      </c>
      <c r="G21" s="82" t="s">
        <v>67</v>
      </c>
      <c r="H21" s="82" t="s">
        <v>178</v>
      </c>
      <c r="I21" s="82" t="s">
        <v>179</v>
      </c>
      <c r="J21" s="82" t="s">
        <v>180</v>
      </c>
      <c r="K21" s="69">
        <v>46216</v>
      </c>
      <c r="L21" s="40" t="s">
        <v>27</v>
      </c>
      <c r="M21" s="48" t="s">
        <v>45</v>
      </c>
      <c r="N21" s="80">
        <v>46234</v>
      </c>
      <c r="O21" s="76">
        <v>46237</v>
      </c>
      <c r="P21" s="76">
        <v>46238</v>
      </c>
      <c r="Q21" s="76">
        <v>46239</v>
      </c>
      <c r="R21" s="45"/>
      <c r="S21" s="45"/>
      <c r="T21" s="40" t="s">
        <v>46</v>
      </c>
      <c r="U21" s="45" t="s">
        <v>47</v>
      </c>
    </row>
    <row r="22" spans="1:21" s="5" customFormat="1" ht="14.25" customHeight="1">
      <c r="A22" s="8">
        <v>21</v>
      </c>
      <c r="B22" s="8" t="s">
        <v>183</v>
      </c>
      <c r="C22" s="75">
        <v>46234</v>
      </c>
      <c r="D22" s="46" t="s">
        <v>20</v>
      </c>
      <c r="E22" s="46" t="s">
        <v>32</v>
      </c>
      <c r="F22" s="47" t="s">
        <v>75</v>
      </c>
      <c r="G22" s="46" t="s">
        <v>177</v>
      </c>
      <c r="H22" s="61" t="s">
        <v>196</v>
      </c>
      <c r="I22" s="61" t="s">
        <v>197</v>
      </c>
      <c r="J22" s="46" t="s">
        <v>180</v>
      </c>
      <c r="K22" s="71">
        <v>46238</v>
      </c>
      <c r="L22" s="8" t="s">
        <v>27</v>
      </c>
      <c r="M22" s="47" t="s">
        <v>200</v>
      </c>
      <c r="N22" s="81">
        <v>46234</v>
      </c>
      <c r="O22" s="78"/>
      <c r="P22" s="78"/>
      <c r="Q22" s="78"/>
      <c r="T22" s="5" t="s">
        <v>199</v>
      </c>
      <c r="U22" s="5" t="s">
        <v>47</v>
      </c>
    </row>
    <row r="23" spans="1:21" s="5" customFormat="1" ht="14.25" customHeight="1">
      <c r="A23" s="8">
        <v>22</v>
      </c>
      <c r="B23" s="8" t="s">
        <v>184</v>
      </c>
      <c r="C23" s="71">
        <v>46237</v>
      </c>
      <c r="D23" s="8" t="s">
        <v>20</v>
      </c>
      <c r="E23" s="8" t="s">
        <v>21</v>
      </c>
      <c r="F23" s="8" t="s">
        <v>186</v>
      </c>
      <c r="G23" s="10" t="s">
        <v>187</v>
      </c>
      <c r="H23" s="8" t="s">
        <v>189</v>
      </c>
      <c r="I23" s="8" t="s">
        <v>190</v>
      </c>
      <c r="J23" s="8" t="s">
        <v>188</v>
      </c>
      <c r="K23" s="71"/>
      <c r="L23" s="8"/>
      <c r="M23" s="8" t="s">
        <v>191</v>
      </c>
      <c r="N23" s="78"/>
      <c r="O23" s="78"/>
      <c r="P23" s="78"/>
      <c r="Q23" s="78"/>
      <c r="T23" s="5" t="s">
        <v>209</v>
      </c>
      <c r="U23" s="5" t="s">
        <v>30</v>
      </c>
    </row>
    <row r="24" spans="1:21" s="5" customFormat="1" ht="14.25" customHeight="1">
      <c r="A24" s="8">
        <v>23</v>
      </c>
      <c r="B24" s="8" t="s">
        <v>208</v>
      </c>
      <c r="C24" s="12">
        <v>46244</v>
      </c>
      <c r="D24" s="8" t="s">
        <v>20</v>
      </c>
      <c r="E24" s="8" t="s">
        <v>202</v>
      </c>
      <c r="F24" s="8" t="s">
        <v>203</v>
      </c>
      <c r="G24" s="10" t="s">
        <v>204</v>
      </c>
      <c r="H24" s="8" t="s">
        <v>205</v>
      </c>
      <c r="I24" s="8" t="s">
        <v>206</v>
      </c>
      <c r="J24" s="8" t="s">
        <v>207</v>
      </c>
      <c r="K24" s="12">
        <v>46244</v>
      </c>
      <c r="L24" s="8" t="s">
        <v>27</v>
      </c>
      <c r="M24" s="8" t="s">
        <v>210</v>
      </c>
      <c r="N24" s="102">
        <v>46245</v>
      </c>
      <c r="O24" s="102">
        <v>46245</v>
      </c>
      <c r="P24" s="102">
        <v>46245</v>
      </c>
      <c r="T24" s="5" t="s">
        <v>211</v>
      </c>
      <c r="U24" s="5" t="s">
        <v>30</v>
      </c>
    </row>
    <row r="25" spans="1:21" s="5" customFormat="1" ht="14.25" customHeight="1">
      <c r="G25" s="17"/>
    </row>
    <row r="26" spans="1:21" s="5" customFormat="1" ht="14.25" customHeight="1">
      <c r="G26" s="17"/>
    </row>
    <row r="27" spans="1:21" s="5" customFormat="1" ht="14.25" customHeight="1">
      <c r="G27" s="17"/>
    </row>
    <row r="28" spans="1:21" s="5" customFormat="1" ht="14.25" customHeight="1">
      <c r="G28" s="17"/>
    </row>
    <row r="29" spans="1:21" s="5" customFormat="1" ht="14.25" customHeight="1">
      <c r="G29" s="17"/>
    </row>
    <row r="30" spans="1:21" s="5" customFormat="1" ht="14.25" customHeight="1">
      <c r="G30" s="17"/>
    </row>
    <row r="31" spans="1:21" s="5" customFormat="1" ht="14.25" customHeight="1">
      <c r="G31" s="17"/>
    </row>
    <row r="32" spans="1:21" s="5" customFormat="1" ht="14.25" customHeight="1">
      <c r="G32" s="17"/>
    </row>
    <row r="33" spans="7:7" s="5" customFormat="1" ht="14.25" customHeight="1">
      <c r="G33" s="17"/>
    </row>
    <row r="34" spans="7:7" s="5" customFormat="1" ht="14.25" customHeight="1">
      <c r="G34" s="17"/>
    </row>
    <row r="35" spans="7:7" s="5" customFormat="1" ht="14.25" customHeight="1">
      <c r="G35" s="17"/>
    </row>
    <row r="36" spans="7:7" s="5" customFormat="1" ht="14.25" customHeight="1">
      <c r="G36" s="17"/>
    </row>
    <row r="37" spans="7:7" s="5" customFormat="1" ht="14.25" customHeight="1">
      <c r="G37" s="17"/>
    </row>
    <row r="38" spans="7:7" s="5" customFormat="1" ht="14.25" customHeight="1">
      <c r="G38" s="17"/>
    </row>
    <row r="39" spans="7:7" s="5" customFormat="1" ht="14.25" customHeight="1">
      <c r="G39" s="17"/>
    </row>
    <row r="40" spans="7:7" s="5" customFormat="1" ht="14.25" customHeight="1">
      <c r="G40" s="17"/>
    </row>
    <row r="41" spans="7:7" s="5" customFormat="1" ht="14.25" customHeight="1">
      <c r="G41" s="17"/>
    </row>
    <row r="42" spans="7:7" s="5" customFormat="1" ht="14.25" customHeight="1">
      <c r="G42" s="17"/>
    </row>
  </sheetData>
  <autoFilter ref="A1:T1" xr:uid="{00000000-0009-0000-0000-000000000000}"/>
  <dataValidations count="2">
    <dataValidation type="list" allowBlank="1" showInputMessage="1" showErrorMessage="1" sqref="R2:R23" xr:uid="{BC98B305-C019-4985-95C5-513356380383}">
      <formula1>"Yes,No"</formula1>
    </dataValidation>
    <dataValidation type="list" allowBlank="1" showInputMessage="1" showErrorMessage="1" sqref="S2:S23" xr:uid="{C06E9C4F-A2EF-4FFA-B671-F3ABC2D50D56}">
      <formula1>"Issued,Pending"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zoomScaleNormal="100" workbookViewId="0">
      <selection activeCell="B2" sqref="B2"/>
    </sheetView>
  </sheetViews>
  <sheetFormatPr defaultColWidth="8.6640625" defaultRowHeight="14.4"/>
  <cols>
    <col min="1" max="1" width="7.21875" customWidth="1"/>
    <col min="2" max="2" width="20.77734375" customWidth="1"/>
    <col min="4" max="4" width="10.21875" customWidth="1"/>
    <col min="5" max="5" width="27" customWidth="1"/>
    <col min="6" max="6" width="16.88671875" customWidth="1"/>
    <col min="7" max="7" width="16.44140625" customWidth="1"/>
    <col min="8" max="8" width="24.33203125" customWidth="1"/>
    <col min="12" max="12" width="15" customWidth="1"/>
    <col min="13" max="13" width="16.77734375" customWidth="1"/>
    <col min="14" max="14" width="11.88671875" customWidth="1"/>
    <col min="15" max="15" width="22.21875" customWidth="1"/>
    <col min="16" max="16" width="25.77734375" customWidth="1"/>
    <col min="17" max="17" width="16" customWidth="1"/>
    <col min="18" max="18" width="26.77734375" customWidth="1"/>
    <col min="19" max="19" width="29.33203125" customWidth="1"/>
  </cols>
  <sheetData>
    <row r="1" spans="1:19" ht="14.25" customHeight="1">
      <c r="A1" s="18" t="s">
        <v>0</v>
      </c>
      <c r="B1" s="18" t="s">
        <v>1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11</v>
      </c>
      <c r="K1" s="18" t="s">
        <v>12</v>
      </c>
      <c r="L1" s="18" t="s">
        <v>2</v>
      </c>
      <c r="M1" s="18" t="s">
        <v>10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</row>
    <row r="2" spans="1:19" s="5" customFormat="1" ht="14.25" customHeight="1">
      <c r="A2" s="8">
        <v>1</v>
      </c>
      <c r="B2" s="6" t="s">
        <v>123</v>
      </c>
      <c r="C2" s="13" t="s">
        <v>20</v>
      </c>
      <c r="D2" s="8" t="s">
        <v>70</v>
      </c>
      <c r="E2" s="8" t="s">
        <v>124</v>
      </c>
      <c r="F2" s="8" t="s">
        <v>125</v>
      </c>
      <c r="G2" s="8" t="s">
        <v>55</v>
      </c>
      <c r="H2" s="8" t="s">
        <v>56</v>
      </c>
      <c r="I2" s="8" t="s">
        <v>57</v>
      </c>
      <c r="J2" s="8" t="s">
        <v>27</v>
      </c>
      <c r="K2" s="8" t="s">
        <v>77</v>
      </c>
      <c r="L2" s="7">
        <v>46219</v>
      </c>
      <c r="M2" s="12">
        <v>46223</v>
      </c>
      <c r="R2" s="19" t="s">
        <v>126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3"/>
  <sheetViews>
    <sheetView showGridLines="0" zoomScale="80" zoomScaleNormal="80" workbookViewId="0">
      <selection activeCell="Q5" sqref="Q5"/>
    </sheetView>
  </sheetViews>
  <sheetFormatPr defaultColWidth="8.6640625" defaultRowHeight="14.4"/>
  <cols>
    <col min="1" max="1" width="23.21875" customWidth="1"/>
    <col min="2" max="2" width="14.88671875" customWidth="1"/>
    <col min="3" max="3" width="14" customWidth="1"/>
    <col min="4" max="4" width="7.44140625" customWidth="1"/>
    <col min="5" max="5" width="19.21875" customWidth="1"/>
    <col min="6" max="6" width="12" customWidth="1"/>
    <col min="7" max="7" width="2" customWidth="1"/>
    <col min="8" max="8" width="26" customWidth="1"/>
    <col min="9" max="9" width="16" customWidth="1"/>
    <col min="10" max="10" width="10" customWidth="1"/>
    <col min="11" max="11" width="14" customWidth="1"/>
    <col min="12" max="12" width="12" customWidth="1"/>
    <col min="13" max="13" width="18" customWidth="1"/>
    <col min="14" max="14" width="12" customWidth="1"/>
    <col min="15" max="15" width="13.44140625" customWidth="1"/>
    <col min="16" max="16" width="14.33203125" customWidth="1"/>
    <col min="17" max="17" width="18" customWidth="1"/>
    <col min="18" max="18" width="9.109375" customWidth="1"/>
    <col min="20" max="20" width="13.33203125" customWidth="1"/>
  </cols>
  <sheetData>
    <row r="1" spans="1:17" ht="19.5" customHeight="1">
      <c r="A1" s="94" t="s">
        <v>127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7" ht="19.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7" ht="14.25" customHeight="1">
      <c r="A3" s="95" t="s">
        <v>128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5" spans="1:17" ht="27.75" customHeight="1">
      <c r="A5" s="96" t="s">
        <v>172</v>
      </c>
      <c r="B5" s="96"/>
      <c r="C5" s="97" t="s">
        <v>129</v>
      </c>
      <c r="D5" s="97"/>
      <c r="E5" s="98" t="s">
        <v>130</v>
      </c>
      <c r="F5" s="98"/>
      <c r="G5" s="99" t="s">
        <v>131</v>
      </c>
      <c r="H5" s="99"/>
      <c r="I5" s="100" t="s">
        <v>132</v>
      </c>
      <c r="J5" s="100"/>
      <c r="K5" s="101" t="s">
        <v>133</v>
      </c>
      <c r="L5" s="101"/>
      <c r="M5" s="86" t="s">
        <v>134</v>
      </c>
      <c r="N5" s="86"/>
      <c r="O5" s="87" t="s">
        <v>135</v>
      </c>
      <c r="P5" s="87"/>
      <c r="Q5" s="20"/>
    </row>
    <row r="6" spans="1:17" ht="21.75" customHeight="1">
      <c r="A6" s="88">
        <f>COUNTA('Active Orders'!$A$2:$A$499)</f>
        <v>23</v>
      </c>
      <c r="B6" s="88"/>
      <c r="C6" s="89">
        <f>COUNTIF('Active Orders'!$L$2:$L$499,"CLOS")</f>
        <v>22</v>
      </c>
      <c r="D6" s="89"/>
      <c r="E6" s="90">
        <f>COUNTIF('Active Orders'!$T$2:$T$499,"In Process")+COUNTIF('Active Orders'!$T$2:$T$499,"Under MW Installation")+COUNTIF('Active Orders'!$T$2:$T$499,"Under MW Installation- Brown Condition")</f>
        <v>1</v>
      </c>
      <c r="F6" s="90"/>
      <c r="G6" s="91">
        <f>COUNTIF('Active Orders'!$T$2:$T$499,"Under TWAL Approval")</f>
        <v>0</v>
      </c>
      <c r="H6" s="91"/>
      <c r="I6" s="92">
        <f>COUNTIFS('Active Orders'!$A$2:$A$499,"&lt;&gt;",'Active Orders'!$T$2:$T$499,"")</f>
        <v>0</v>
      </c>
      <c r="J6" s="92"/>
      <c r="K6" s="91">
        <f>COUNTA('Cancelled Orders'!$B$2:$B$500)</f>
        <v>1</v>
      </c>
      <c r="L6" s="91"/>
      <c r="M6" s="93">
        <f>COUNTIF('Active Orders'!$T$2:$T$499,"Delivered*")</f>
        <v>11</v>
      </c>
      <c r="N6" s="93"/>
      <c r="O6" s="88">
        <f>A6+K6</f>
        <v>24</v>
      </c>
      <c r="P6" s="88"/>
      <c r="Q6" s="21"/>
    </row>
    <row r="7" spans="1:17" ht="21.75" customHeight="1">
      <c r="A7" s="88"/>
      <c r="B7" s="88"/>
      <c r="C7" s="89"/>
      <c r="D7" s="89"/>
      <c r="E7" s="90"/>
      <c r="F7" s="90"/>
      <c r="G7" s="91"/>
      <c r="H7" s="91"/>
      <c r="I7" s="92"/>
      <c r="J7" s="92"/>
      <c r="K7" s="91"/>
      <c r="L7" s="91"/>
      <c r="M7" s="93"/>
      <c r="N7" s="93"/>
      <c r="O7" s="88"/>
      <c r="P7" s="88"/>
    </row>
    <row r="9" spans="1:17" ht="18" customHeight="1">
      <c r="A9" s="83" t="s">
        <v>136</v>
      </c>
      <c r="B9" s="83"/>
      <c r="C9" s="83"/>
      <c r="E9" s="83" t="s">
        <v>137</v>
      </c>
      <c r="F9" s="83"/>
    </row>
    <row r="10" spans="1:17" ht="14.25" customHeight="1">
      <c r="A10" s="22" t="s">
        <v>17</v>
      </c>
      <c r="B10" s="22" t="s">
        <v>138</v>
      </c>
      <c r="C10" s="22" t="s">
        <v>139</v>
      </c>
      <c r="E10" s="22" t="s">
        <v>3</v>
      </c>
      <c r="F10" s="22" t="s">
        <v>138</v>
      </c>
    </row>
    <row r="11" spans="1:17" ht="14.25" customHeight="1">
      <c r="A11" s="23" t="s">
        <v>59</v>
      </c>
      <c r="B11" s="24">
        <f>COUNTIF('Active Orders'!$T$2:$T$499,"Under Activation")</f>
        <v>5</v>
      </c>
      <c r="C11" s="25">
        <f>B11/$B$16</f>
        <v>0.29411764705882354</v>
      </c>
      <c r="E11" s="23" t="s">
        <v>20</v>
      </c>
      <c r="F11" s="24">
        <f>COUNTIF('Active Orders'!$D$2:$D$499,"CENTRAL")</f>
        <v>22</v>
      </c>
    </row>
    <row r="12" spans="1:17" ht="14.25" customHeight="1">
      <c r="A12" s="23" t="s">
        <v>68</v>
      </c>
      <c r="B12" s="24">
        <f>COUNTIF('Active Orders'!$T$2:$T$499,"Under TWAL Approval")</f>
        <v>0</v>
      </c>
      <c r="C12" s="25">
        <f>B12/$B$16</f>
        <v>0</v>
      </c>
      <c r="E12" s="23" t="s">
        <v>97</v>
      </c>
      <c r="F12" s="24">
        <f>COUNTIF('Active Orders'!$D$2:$D$499,"EAST")</f>
        <v>1</v>
      </c>
    </row>
    <row r="13" spans="1:17" ht="14.25" customHeight="1">
      <c r="A13" s="23" t="s">
        <v>29</v>
      </c>
      <c r="B13" s="24">
        <f>COUNTIF('Active Orders'!$T$2:$T$499,"Under MW Installation")</f>
        <v>1</v>
      </c>
      <c r="C13" s="25">
        <f>B13/$B$16</f>
        <v>5.8823529411764705E-2</v>
      </c>
      <c r="E13" s="23" t="s">
        <v>140</v>
      </c>
      <c r="F13" s="24">
        <f>COUNTIFS('Active Orders'!$A$2:$A$499,"&lt;&gt;",'Active Orders'!$D$2:$D$499,"")</f>
        <v>0</v>
      </c>
    </row>
    <row r="14" spans="1:17" ht="14.25" customHeight="1">
      <c r="A14" s="23" t="s">
        <v>141</v>
      </c>
      <c r="B14" s="24">
        <f>COUNTIFS('Active Orders'!$A$2:$A$499,"&lt;&gt;",'Active Orders'!$T$2:$T$499,"")</f>
        <v>0</v>
      </c>
      <c r="C14" s="25">
        <f>B14/$B$16</f>
        <v>0</v>
      </c>
    </row>
    <row r="15" spans="1:17" ht="17.25" customHeight="1">
      <c r="A15" s="23" t="s">
        <v>142</v>
      </c>
      <c r="B15" s="24">
        <f>COUNTIF('Active Orders'!$T$2:$T$499,"Delivered*")</f>
        <v>11</v>
      </c>
      <c r="C15" s="25">
        <f>B15/$B$16</f>
        <v>0.6470588235294118</v>
      </c>
      <c r="E15" s="83" t="s">
        <v>143</v>
      </c>
      <c r="F15" s="83"/>
    </row>
    <row r="16" spans="1:17" ht="14.25" customHeight="1">
      <c r="A16" s="26" t="s">
        <v>144</v>
      </c>
      <c r="B16" s="27">
        <f>SUM(B11:B15)</f>
        <v>17</v>
      </c>
      <c r="C16" s="28">
        <f>SUM(C11:C15)</f>
        <v>1</v>
      </c>
      <c r="E16" s="22" t="s">
        <v>145</v>
      </c>
      <c r="F16" s="22" t="s">
        <v>138</v>
      </c>
    </row>
    <row r="17" spans="1:6" ht="14.25" customHeight="1">
      <c r="A17" s="29"/>
      <c r="B17" s="30"/>
      <c r="C17" s="31"/>
      <c r="E17" s="23" t="s">
        <v>146</v>
      </c>
      <c r="F17" s="24">
        <f>COUNTA('Cancelled Orders'!$B$2:$B$500)</f>
        <v>1</v>
      </c>
    </row>
    <row r="18" spans="1:6" ht="14.25" customHeight="1">
      <c r="A18" s="32"/>
      <c r="B18" s="33"/>
      <c r="C18" s="34"/>
    </row>
    <row r="20" spans="1:6" ht="17.25" customHeight="1">
      <c r="A20" s="83" t="s">
        <v>147</v>
      </c>
      <c r="B20" s="83"/>
      <c r="E20" s="83" t="s">
        <v>148</v>
      </c>
      <c r="F20" s="83"/>
    </row>
    <row r="21" spans="1:6" ht="14.25" customHeight="1">
      <c r="A21" s="22" t="s">
        <v>4</v>
      </c>
      <c r="B21" s="22" t="s">
        <v>138</v>
      </c>
      <c r="E21" s="22" t="s">
        <v>11</v>
      </c>
      <c r="F21" s="22" t="s">
        <v>138</v>
      </c>
    </row>
    <row r="22" spans="1:6" ht="14.25" customHeight="1">
      <c r="A22" s="23" t="s">
        <v>32</v>
      </c>
      <c r="B22" s="24">
        <f>COUNTIF('Active Orders'!$E$2:$E$499,"RIYADHDST")</f>
        <v>11</v>
      </c>
      <c r="E22" s="23" t="s">
        <v>27</v>
      </c>
      <c r="F22" s="24">
        <f>COUNTIF('Active Orders'!$L$2:$L$499,"CLOS")</f>
        <v>22</v>
      </c>
    </row>
    <row r="23" spans="1:6" ht="14.25" customHeight="1">
      <c r="A23" s="23" t="s">
        <v>21</v>
      </c>
      <c r="B23" s="24">
        <f>COUNTIF('Active Orders'!$E$2:$E$499,"QASSIM")</f>
        <v>5</v>
      </c>
      <c r="E23" s="23" t="s">
        <v>149</v>
      </c>
      <c r="F23" s="24">
        <f>COUNTIF('Active Orders'!$L$2:$L$499,"Pending")</f>
        <v>0</v>
      </c>
    </row>
    <row r="24" spans="1:6" ht="14.25" customHeight="1">
      <c r="A24" s="23" t="s">
        <v>70</v>
      </c>
      <c r="B24" s="24">
        <f>COUNTIF('Active Orders'!$E$2:$E$499,"RIYADH")</f>
        <v>5</v>
      </c>
      <c r="E24" s="23" t="s">
        <v>150</v>
      </c>
      <c r="F24" s="24">
        <f>COUNTIFS('Active Orders'!$A$2:$A$499,"&lt;&gt;",'Active Orders'!$L$2:$L$499,"")</f>
        <v>1</v>
      </c>
    </row>
    <row r="25" spans="1:6" ht="14.25" customHeight="1">
      <c r="A25" s="23" t="s">
        <v>98</v>
      </c>
      <c r="B25" s="24">
        <f>COUNTIF('Active Orders'!$E$2:$E$499,"ALAHSA")</f>
        <v>1</v>
      </c>
    </row>
    <row r="26" spans="1:6" ht="14.25" customHeight="1">
      <c r="A26" s="23" t="s">
        <v>140</v>
      </c>
      <c r="B26" s="24">
        <f>COUNTIFS('Active Orders'!$A$2:$A$499,"&lt;&gt;",'Active Orders'!$E$2:$E$499,"")</f>
        <v>0</v>
      </c>
    </row>
    <row r="29" spans="1:6" ht="17.25" customHeight="1">
      <c r="A29" s="83" t="s">
        <v>151</v>
      </c>
      <c r="B29" s="83"/>
    </row>
    <row r="30" spans="1:6" ht="14.25" customHeight="1">
      <c r="A30" s="22" t="s">
        <v>152</v>
      </c>
      <c r="B30" s="22" t="s">
        <v>138</v>
      </c>
    </row>
    <row r="31" spans="1:6" ht="14.25" customHeight="1">
      <c r="A31" s="23" t="s">
        <v>83</v>
      </c>
      <c r="B31" s="24">
        <f>COUNTIF('Active Orders'!$J$2:$J$499,"100Mbps")</f>
        <v>4</v>
      </c>
    </row>
    <row r="32" spans="1:6" ht="14.25" customHeight="1">
      <c r="A32" s="23" t="s">
        <v>37</v>
      </c>
      <c r="B32" s="24">
        <f>COUNTIF('Active Orders'!$J$2:$J$499,"25MBPs")</f>
        <v>1</v>
      </c>
    </row>
    <row r="33" spans="1:3" ht="14.25" customHeight="1">
      <c r="A33" s="23" t="s">
        <v>26</v>
      </c>
      <c r="B33" s="24">
        <f>COUNTIF('Active Orders'!$J$2:$J$499,"20MBPs")</f>
        <v>1</v>
      </c>
    </row>
    <row r="34" spans="1:3" ht="14.25" customHeight="1">
      <c r="A34" s="23" t="s">
        <v>57</v>
      </c>
      <c r="B34" s="24">
        <f>COUNTIF('Active Orders'!$J$2:$J$499,"8MBPs")</f>
        <v>10</v>
      </c>
    </row>
    <row r="35" spans="1:3" ht="14.25" customHeight="1">
      <c r="A35" s="23" t="s">
        <v>44</v>
      </c>
      <c r="B35" s="24">
        <f>COUNTIF('Active Orders'!$J$2:$J$499,"6MBPs")</f>
        <v>2</v>
      </c>
    </row>
    <row r="36" spans="1:3" ht="14.25" customHeight="1">
      <c r="A36" s="23" t="s">
        <v>63</v>
      </c>
      <c r="B36" s="24">
        <f>COUNTIF('Active Orders'!$J$2:$J$499,"4MBPs")</f>
        <v>1</v>
      </c>
    </row>
    <row r="37" spans="1:3" ht="14.25" customHeight="1">
      <c r="A37" s="23" t="s">
        <v>140</v>
      </c>
      <c r="B37" s="24">
        <f>COUNTIFS('Active Orders'!$A$2:$A$499,"&lt;&gt;",'Active Orders'!$J$2:$J$499,"")</f>
        <v>0</v>
      </c>
    </row>
    <row r="40" spans="1:3" ht="15.75" customHeight="1">
      <c r="A40" s="84" t="s">
        <v>153</v>
      </c>
      <c r="B40" s="84"/>
      <c r="C40" s="84"/>
    </row>
    <row r="41" spans="1:3" ht="14.25" customHeight="1">
      <c r="A41" s="35" t="s">
        <v>154</v>
      </c>
      <c r="B41" s="35" t="s">
        <v>155</v>
      </c>
      <c r="C41" s="35" t="s">
        <v>138</v>
      </c>
    </row>
    <row r="42" spans="1:3" ht="14.25" customHeight="1">
      <c r="A42" s="36" t="s">
        <v>156</v>
      </c>
      <c r="B42" s="36" t="s">
        <v>157</v>
      </c>
      <c r="C42" s="37">
        <f>COUNTIF('Active Orders'!$B$2:$B$499,"*STC")</f>
        <v>20</v>
      </c>
    </row>
    <row r="43" spans="1:3" ht="14.25" customHeight="1">
      <c r="A43" s="36" t="s">
        <v>156</v>
      </c>
      <c r="B43" s="36" t="s">
        <v>158</v>
      </c>
      <c r="C43" s="37">
        <f>COUNTIF('Cancelled Orders'!$B$2:$B$500,"*STC")</f>
        <v>1</v>
      </c>
    </row>
    <row r="44" spans="1:3" ht="14.25" customHeight="1">
      <c r="A44" s="36" t="s">
        <v>159</v>
      </c>
      <c r="B44" s="36" t="s">
        <v>157</v>
      </c>
      <c r="C44" s="37">
        <f>COUNTIF('Active Orders'!$B$2:$B$499,"*Mobily")</f>
        <v>3</v>
      </c>
    </row>
    <row r="45" spans="1:3" ht="14.25" customHeight="1">
      <c r="A45" s="36" t="s">
        <v>159</v>
      </c>
      <c r="B45" s="36" t="s">
        <v>158</v>
      </c>
      <c r="C45" s="37">
        <f>COUNTIF('Cancelled Orders'!$B$2:$B$500,"*Mobily")</f>
        <v>0</v>
      </c>
    </row>
    <row r="46" spans="1:3" ht="14.25" customHeight="1">
      <c r="A46" s="85" t="s">
        <v>160</v>
      </c>
      <c r="B46" s="85"/>
      <c r="C46" s="39">
        <f>SUM(C42:C43)</f>
        <v>21</v>
      </c>
    </row>
    <row r="47" spans="1:3" ht="14.25" customHeight="1">
      <c r="A47" s="85" t="s">
        <v>161</v>
      </c>
      <c r="B47" s="85"/>
      <c r="C47" s="39">
        <f>SUM(C44:C45)</f>
        <v>3</v>
      </c>
    </row>
    <row r="49" spans="1:2" ht="15.75" customHeight="1">
      <c r="A49" s="84" t="s">
        <v>162</v>
      </c>
      <c r="B49" s="84"/>
    </row>
    <row r="50" spans="1:2" ht="14.25" customHeight="1">
      <c r="A50" s="35" t="s">
        <v>163</v>
      </c>
      <c r="B50" s="35" t="s">
        <v>138</v>
      </c>
    </row>
    <row r="51" spans="1:2" ht="14.25" customHeight="1">
      <c r="A51" s="36" t="s">
        <v>157</v>
      </c>
      <c r="B51" s="37">
        <f>COUNTA('Active Orders'!$B$2:$B$499)</f>
        <v>23</v>
      </c>
    </row>
    <row r="52" spans="1:2" ht="14.25" customHeight="1">
      <c r="A52" s="36" t="s">
        <v>158</v>
      </c>
      <c r="B52" s="37">
        <f>COUNTA('Cancelled Orders'!$B$2:$B$500)</f>
        <v>1</v>
      </c>
    </row>
    <row r="53" spans="1:2" ht="14.25" customHeight="1">
      <c r="A53" s="38" t="s">
        <v>164</v>
      </c>
      <c r="B53" s="39">
        <f>B51+B52</f>
        <v>24</v>
      </c>
    </row>
  </sheetData>
  <mergeCells count="28">
    <mergeCell ref="A1:L2"/>
    <mergeCell ref="A3:L3"/>
    <mergeCell ref="A5:B5"/>
    <mergeCell ref="C5:D5"/>
    <mergeCell ref="E5:F5"/>
    <mergeCell ref="G5:H5"/>
    <mergeCell ref="I5:J5"/>
    <mergeCell ref="K5:L5"/>
    <mergeCell ref="M5:N5"/>
    <mergeCell ref="O5:P5"/>
    <mergeCell ref="A6:B7"/>
    <mergeCell ref="C6:D7"/>
    <mergeCell ref="E6:F7"/>
    <mergeCell ref="G6:H7"/>
    <mergeCell ref="I6:J7"/>
    <mergeCell ref="K6:L7"/>
    <mergeCell ref="M6:N7"/>
    <mergeCell ref="O6:P7"/>
    <mergeCell ref="A9:C9"/>
    <mergeCell ref="E9:F9"/>
    <mergeCell ref="E15:F15"/>
    <mergeCell ref="A20:B20"/>
    <mergeCell ref="E20:F20"/>
    <mergeCell ref="A29:B29"/>
    <mergeCell ref="A40:C40"/>
    <mergeCell ref="A46:B46"/>
    <mergeCell ref="A47:B47"/>
    <mergeCell ref="A49:B4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 Orders</vt:lpstr>
      <vt:lpstr>Cancelled Orders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Kamaran . Aslam</dc:creator>
  <dc:description/>
  <cp:lastModifiedBy>Hassan</cp:lastModifiedBy>
  <cp:revision>12</cp:revision>
  <dcterms:created xsi:type="dcterms:W3CDTF">2026-07-12T06:58:14Z</dcterms:created>
  <dcterms:modified xsi:type="dcterms:W3CDTF">2026-08-11T18:31:30Z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{"STC Production PolicyServer (ed9463b2396aa46392112b056e0b55b7b5547097)":{"ClassificationDisplayName":"Public - عام","ClassificationMode":"ClassificationMode_UserDriven","LabelId":"100014","Version":"1"}}</vt:lpwstr>
  </property>
  <property fmtid="{D5CDD505-2E9C-101B-9397-08002B2CF9AE}" pid="3" name="SecloreClassificationDisplayName_ed9463b2396aa46392112b056e0b55b7b5547097">
    <vt:lpwstr>Public - عام</vt:lpwstr>
  </property>
  <property fmtid="{D5CDD505-2E9C-101B-9397-08002B2CF9AE}" pid="4" name="SecloreClassificationFooterAlignment">
    <vt:lpwstr>Center</vt:lpwstr>
  </property>
  <property fmtid="{D5CDD505-2E9C-101B-9397-08002B2CF9AE}" pid="5" name="SecloreClassificationFooterColorHex">
    <vt:lpwstr>#6aa850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TextValue">
    <vt:lpwstr>Public - عام</vt:lpwstr>
  </property>
  <property fmtid="{D5CDD505-2E9C-101B-9397-08002B2CF9AE}" pid="8" name="SecloreClassificationHeaderAlignment">
    <vt:lpwstr>Center</vt:lpwstr>
  </property>
  <property fmtid="{D5CDD505-2E9C-101B-9397-08002B2CF9AE}" pid="9" name="SecloreClassificationHeaderColorHex">
    <vt:lpwstr>#6aa850</vt:lpwstr>
  </property>
  <property fmtid="{D5CDD505-2E9C-101B-9397-08002B2CF9AE}" pid="10" name="SecloreClassificationHeaderFontSize">
    <vt:lpwstr>12</vt:lpwstr>
  </property>
  <property fmtid="{D5CDD505-2E9C-101B-9397-08002B2CF9AE}" pid="11" name="SecloreClassificationHeaderTextValue">
    <vt:lpwstr>Public - عام</vt:lpwstr>
  </property>
</Properties>
</file>