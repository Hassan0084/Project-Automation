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ssan\Downloads\"/>
    </mc:Choice>
  </mc:AlternateContent>
  <xr:revisionPtr revIDLastSave="0" documentId="13_ncr:1_{263B7475-7123-4C3E-A9A2-26777589A40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ctive Orders" sheetId="1" r:id="rId1"/>
    <sheet name="Cancelled Orders" sheetId="2" r:id="rId2"/>
    <sheet name="Summary" sheetId="3" r:id="rId3"/>
  </sheets>
  <definedNames>
    <definedName name="_xlnm._FilterDatabase" localSheetId="0" hidden="1">'Active Orders'!$A$1:$R$1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3" l="1"/>
  <c r="B52" i="3"/>
  <c r="B51" i="3"/>
  <c r="B53" i="3" s="1"/>
  <c r="C45" i="3"/>
  <c r="C44" i="3"/>
  <c r="C47" i="3" s="1"/>
  <c r="C43" i="3"/>
  <c r="C42" i="3"/>
  <c r="C46" i="3" s="1"/>
  <c r="B37" i="3"/>
  <c r="B36" i="3"/>
  <c r="B35" i="3"/>
  <c r="B34" i="3"/>
  <c r="B33" i="3"/>
  <c r="B32" i="3"/>
  <c r="B31" i="3"/>
  <c r="B26" i="3"/>
  <c r="B25" i="3"/>
  <c r="F24" i="3"/>
  <c r="B24" i="3"/>
  <c r="F23" i="3"/>
  <c r="B23" i="3"/>
  <c r="F22" i="3"/>
  <c r="B22" i="3"/>
  <c r="F17" i="3"/>
  <c r="B17" i="3"/>
  <c r="B16" i="3"/>
  <c r="B15" i="3"/>
  <c r="B14" i="3"/>
  <c r="F13" i="3"/>
  <c r="B13" i="3"/>
  <c r="F12" i="3"/>
  <c r="B12" i="3"/>
  <c r="F11" i="3"/>
  <c r="B11" i="3"/>
  <c r="O6" i="3"/>
  <c r="K6" i="3"/>
  <c r="I6" i="3"/>
  <c r="G6" i="3"/>
  <c r="E6" i="3"/>
  <c r="C6" i="3"/>
  <c r="A6" i="3"/>
  <c r="Q6" i="3" s="1"/>
  <c r="B18" i="3" l="1"/>
  <c r="C11" i="3" s="1"/>
  <c r="C12" i="3" l="1"/>
  <c r="C13" i="3"/>
  <c r="C14" i="3"/>
  <c r="C15" i="3"/>
  <c r="C16" i="3"/>
  <c r="C17" i="3"/>
  <c r="C18" i="3" l="1"/>
</calcChain>
</file>

<file path=xl/sharedStrings.xml><?xml version="1.0" encoding="utf-8"?>
<sst xmlns="http://schemas.openxmlformats.org/spreadsheetml/2006/main" count="317" uniqueCount="175">
  <si>
    <t>SL No.</t>
  </si>
  <si>
    <t>KI ID</t>
  </si>
  <si>
    <t>Order Received</t>
  </si>
  <si>
    <t>Region</t>
  </si>
  <si>
    <t>City</t>
  </si>
  <si>
    <t>Circuit ID</t>
  </si>
  <si>
    <t>Order Number</t>
  </si>
  <si>
    <t>Customer Name</t>
  </si>
  <si>
    <t>Customer Contact</t>
  </si>
  <si>
    <t>BW</t>
  </si>
  <si>
    <t>LOS Performed</t>
  </si>
  <si>
    <t>LOS Status</t>
  </si>
  <si>
    <t>LOS ID</t>
  </si>
  <si>
    <t>CWO Date</t>
  </si>
  <si>
    <t>Installation Start Date</t>
  </si>
  <si>
    <t>Installation Complete Date</t>
  </si>
  <si>
    <t>Delivery Date</t>
  </si>
  <si>
    <t>Order Status</t>
  </si>
  <si>
    <t>Assigned To</t>
  </si>
  <si>
    <t>KIC-001-MW-MEL-STC</t>
  </si>
  <si>
    <t>CENTRAL</t>
  </si>
  <si>
    <t>QASSIM</t>
  </si>
  <si>
    <t>QASSIM-RIYADH DIAS11003</t>
  </si>
  <si>
    <t>I14977452579171</t>
  </si>
  <si>
    <t>Fosam Limited Company</t>
  </si>
  <si>
    <t>ابتسام اليامي - 553584472</t>
  </si>
  <si>
    <t>20MBPs</t>
  </si>
  <si>
    <t>CLOS</t>
  </si>
  <si>
    <t>601-22-000</t>
  </si>
  <si>
    <t>Under MW Installation</t>
  </si>
  <si>
    <t>Haroon</t>
  </si>
  <si>
    <t>KIC-002-MW-MEL-STC</t>
  </si>
  <si>
    <t>RIYADHDST</t>
  </si>
  <si>
    <t>RIYADHDST-RIYADH DIAS11019</t>
  </si>
  <si>
    <t>I14977108106221</t>
  </si>
  <si>
    <t>Bunyan for Industry CompanySole Partnership</t>
  </si>
  <si>
    <t>وليد الغامدي - 565577234</t>
  </si>
  <si>
    <t>25MBPs</t>
  </si>
  <si>
    <t>ZAKA160</t>
  </si>
  <si>
    <t>Delivered /CR Pending</t>
  </si>
  <si>
    <t>KIC-003-MW-MEL-STC</t>
  </si>
  <si>
    <t>RIYADHDST-RIYADH DIAS11048</t>
  </si>
  <si>
    <t>I14978406074781</t>
  </si>
  <si>
    <t>MINISTRY OF ISLAMIC AFFAIRS1</t>
  </si>
  <si>
    <t>mutlatq mutlatq- 554141990</t>
  </si>
  <si>
    <t>6MBPs</t>
  </si>
  <si>
    <t>ZTMA001</t>
  </si>
  <si>
    <t xml:space="preserve">Delivered </t>
  </si>
  <si>
    <t>Shukoor</t>
  </si>
  <si>
    <t>KIC-004-MW-MEL-STC</t>
  </si>
  <si>
    <t>QASSIM-RIYADH DIAS11007</t>
  </si>
  <si>
    <t>I14978403932431</t>
  </si>
  <si>
    <r>
      <rPr>
        <sz val="11"/>
        <color theme="1"/>
        <rFont val="Calibri"/>
        <family val="2"/>
        <charset val="1"/>
      </rPr>
      <t>mutlatq mutlatq- 554141990/+966561733000</t>
    </r>
    <r>
      <rPr>
        <sz val="11"/>
        <color theme="1"/>
        <rFont val="FreeSans"/>
        <family val="2"/>
      </rPr>
      <t>فواز الوتيد دوام</t>
    </r>
  </si>
  <si>
    <t>ZBRA012</t>
  </si>
  <si>
    <t>KIC-005-MW-MEL-STC</t>
  </si>
  <si>
    <t>QASSIM-RIYADH W-DIA64771</t>
  </si>
  <si>
    <t>I-154546342-0886</t>
  </si>
  <si>
    <t>NOURNET ISP 1</t>
  </si>
  <si>
    <t>Atif Ahmad - 966504164527</t>
  </si>
  <si>
    <t>8MBPs</t>
  </si>
  <si>
    <t>ZBDA012</t>
  </si>
  <si>
    <t>Under Activation</t>
  </si>
  <si>
    <t>KIC-006-MW-MEL-STC</t>
  </si>
  <si>
    <t>RIYADHDISTRICTS-RIYADH W-DIA64993</t>
  </si>
  <si>
    <t>I-154915203-2128</t>
  </si>
  <si>
    <t>4MBPs</t>
  </si>
  <si>
    <t>ZDAA055</t>
  </si>
  <si>
    <t>KIC-007-MW-MEL-STC</t>
  </si>
  <si>
    <t>RIYADHDISTRICTS-RIYADH W-DIA64472</t>
  </si>
  <si>
    <t>I-154001313-9084</t>
  </si>
  <si>
    <t>Under TWAL Approval</t>
  </si>
  <si>
    <t>KIC-008-MW-MEL-Mobily</t>
  </si>
  <si>
    <t>RIYADH</t>
  </si>
  <si>
    <t>SIP Link	1-274297070922</t>
  </si>
  <si>
    <t>1001274298017320</t>
  </si>
  <si>
    <r>
      <rPr>
        <sz val="11"/>
        <color theme="1"/>
        <rFont val="Calibri"/>
        <family val="2"/>
        <charset val="1"/>
      </rPr>
      <t xml:space="preserve">Life Care Medical Complex  </t>
    </r>
    <r>
      <rPr>
        <sz val="11"/>
        <color theme="1"/>
        <rFont val="FreeSans"/>
        <family val="2"/>
      </rPr>
      <t>مجمع لايف كير الطبي</t>
    </r>
    <r>
      <rPr>
        <sz val="11"/>
        <color theme="1"/>
        <rFont val="Calibri"/>
        <family val="2"/>
        <charset val="1"/>
      </rPr>
      <t xml:space="preserve">	</t>
    </r>
  </si>
  <si>
    <r>
      <rPr>
        <sz val="11"/>
        <color theme="1"/>
        <rFont val="Calibri"/>
        <family val="2"/>
        <charset val="1"/>
      </rPr>
      <t xml:space="preserve">    0573240869  </t>
    </r>
    <r>
      <rPr>
        <sz val="11"/>
        <color theme="1"/>
        <rFont val="FreeSans"/>
        <family val="2"/>
      </rPr>
      <t>منهاز</t>
    </r>
  </si>
  <si>
    <t>1MBPs</t>
  </si>
  <si>
    <t>C6406</t>
  </si>
  <si>
    <t>Pending Due to Ip issues at Mobily End</t>
  </si>
  <si>
    <t>KIC-009-MW-MEL-STC</t>
  </si>
  <si>
    <t>RIYADHDISTRICTS-RIYADH W-DIA65540</t>
  </si>
  <si>
    <t>I-155313238-4448</t>
  </si>
  <si>
    <t>ZAKA013</t>
  </si>
  <si>
    <t>KIC-010-MW-MEL-STC</t>
  </si>
  <si>
    <t>RIYADH-RIYADH W-PLL62209</t>
  </si>
  <si>
    <t>I-150409923-1673</t>
  </si>
  <si>
    <t>TAWAL</t>
  </si>
  <si>
    <t>Muhanned Abusummah-- 0502897276</t>
  </si>
  <si>
    <t>100Mbps</t>
  </si>
  <si>
    <t>ZR4020</t>
  </si>
  <si>
    <t>KIC-011-MW-MEL-STC</t>
  </si>
  <si>
    <t>RIYADH-RIYADH W-PLL61594</t>
  </si>
  <si>
    <t>I-149425327-9129</t>
  </si>
  <si>
    <t>Abdulrahman Balfaqih-- 0502897276</t>
  </si>
  <si>
    <t>ZAKA953</t>
  </si>
  <si>
    <t xml:space="preserve">Under MW Installation / Pending Due to Permission Letter </t>
  </si>
  <si>
    <t>KIC-012-MW-MEL-STC</t>
  </si>
  <si>
    <t>RIYADHDISTRICTS-RIYADH W-PLL61621</t>
  </si>
  <si>
    <t>I-149433405-9386</t>
  </si>
  <si>
    <t>FRB04</t>
  </si>
  <si>
    <t>KIC-013-MW-MEL-STC</t>
  </si>
  <si>
    <t>EAST</t>
  </si>
  <si>
    <t>ALAHSA</t>
  </si>
  <si>
    <t>ALAHSA-DAMMAM W-PLL60851</t>
  </si>
  <si>
    <t>I-148474460-6471</t>
  </si>
  <si>
    <t>FRD12</t>
  </si>
  <si>
    <t>KIC-014-MW-MEL-STC</t>
  </si>
  <si>
    <t>RIYADHDISTRICTS-RIYADH W-DIA65578</t>
  </si>
  <si>
    <t>I-155424122-6722</t>
  </si>
  <si>
    <t xml:space="preserve">NOURNET ISP 1 </t>
  </si>
  <si>
    <t>Atif--0504164527</t>
  </si>
  <si>
    <t>8MBPS</t>
  </si>
  <si>
    <t>FTR16</t>
  </si>
  <si>
    <t>KIC-015-MW-MEL-STC</t>
  </si>
  <si>
    <t>RIYADHDISTRICTS-RIYADH W-DIA65586</t>
  </si>
  <si>
    <t>I-155428046-6760</t>
  </si>
  <si>
    <t>FTR14</t>
  </si>
  <si>
    <t>KIC-016-MW-MEL-STC</t>
  </si>
  <si>
    <t>QASSIM-RIYADH W-DIA66191</t>
  </si>
  <si>
    <t>I-155826101-8176</t>
  </si>
  <si>
    <t>NOURNET ISP 1 - NOURNET ISP - SC 1</t>
  </si>
  <si>
    <t>689-00-101</t>
  </si>
  <si>
    <t>KIC-017-MW-MEL-STC</t>
  </si>
  <si>
    <t>HAIL</t>
  </si>
  <si>
    <t>HAIL-RIYADH W-DIA66171</t>
  </si>
  <si>
    <t>I-155792125-7075</t>
  </si>
  <si>
    <t>ZHAA035</t>
  </si>
  <si>
    <t>KIC-018-MW-MEL-STC</t>
  </si>
  <si>
    <t>RIYADH-RIYADH W-DIA65391</t>
  </si>
  <si>
    <t>I-155156872-9273</t>
  </si>
  <si>
    <t>Cancelled</t>
  </si>
  <si>
    <t>KI ORDERS — SUMMARY DASHBOARD</t>
  </si>
  <si>
    <t>Live snapshot — all figures below recalculate automatically from the Sheet1 order log</t>
  </si>
  <si>
    <t>TOTAL ORDERS</t>
  </si>
  <si>
    <t>LOS COMPLETED (CLOS)</t>
  </si>
  <si>
    <t>IN PROCESS / INSTALLING</t>
  </si>
  <si>
    <t>AWAITING TWAL APPROVAL</t>
  </si>
  <si>
    <t>BROWN CONDITION FLAGGED</t>
  </si>
  <si>
    <t>STATUS NOT YET SET</t>
  </si>
  <si>
    <t>CANCELLED ORDERS</t>
  </si>
  <si>
    <t>DELIVERED</t>
  </si>
  <si>
    <t>GRAND TOTAL (ALL ORDERS)</t>
  </si>
  <si>
    <t>Order Status Breakdown</t>
  </si>
  <si>
    <t>Region Breakdown</t>
  </si>
  <si>
    <t>Count</t>
  </si>
  <si>
    <t>Share</t>
  </si>
  <si>
    <t>Source Sheet</t>
  </si>
  <si>
    <t>Active Orders</t>
  </si>
  <si>
    <t>Cancelled Orders</t>
  </si>
  <si>
    <t>In Process</t>
  </si>
  <si>
    <t>Not Specified</t>
  </si>
  <si>
    <t>Under MW Installation- Brown Condition</t>
  </si>
  <si>
    <t>Cancelled Orders Summary</t>
  </si>
  <si>
    <t>Not Yet Set</t>
  </si>
  <si>
    <t>Metric</t>
  </si>
  <si>
    <t>Delivered</t>
  </si>
  <si>
    <t>Total Cancelled Orders</t>
  </si>
  <si>
    <t>Total</t>
  </si>
  <si>
    <t>City Breakdown</t>
  </si>
  <si>
    <t>LOS Status Breakdown</t>
  </si>
  <si>
    <t>Pending</t>
  </si>
  <si>
    <t>Not Started</t>
  </si>
  <si>
    <t>Bandwidth (BW) Distribution</t>
  </si>
  <si>
    <t>Bandwidth</t>
  </si>
  <si>
    <t>STC vs Mobily Breakdown</t>
  </si>
  <si>
    <t>Provider</t>
  </si>
  <si>
    <t>STC Orders</t>
  </si>
  <si>
    <t>Mobily Orders</t>
  </si>
  <si>
    <t>Total STC Orders</t>
  </si>
  <si>
    <t>Total Mobily Orders</t>
  </si>
  <si>
    <t>Status</t>
  </si>
  <si>
    <t>Grand Total</t>
  </si>
  <si>
    <t>Active vs Cancelled</t>
  </si>
  <si>
    <t>Delivered / CR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</si>
</sst>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FreeSans"/>
      <family val="2"/>
      <charset val="1"/>
    </font>
    <font>
      <sz val="11"/>
      <color theme="1"/>
      <name val="FreeSans"/>
      <family val="2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9"/>
      <color rgb="FF808080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9"/>
      <color rgb="FFFFFFFF"/>
      <name val="Calibri"/>
      <family val="2"/>
    </font>
    <font>
      <b/>
      <sz val="20"/>
      <color rgb="FFFFFFFF"/>
      <name val="Calibri"/>
      <family val="2"/>
      <charset val="1"/>
    </font>
    <font>
      <b/>
      <sz val="20"/>
      <color rgb="FFFFFFFF"/>
      <name val="Calibri"/>
      <family val="2"/>
    </font>
    <font>
      <b/>
      <sz val="13"/>
      <color rgb="FFFFFFFF"/>
      <name val="Calibri"/>
      <family val="2"/>
      <charset val="1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name val="Calibri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mbria"/>
      <family val="1"/>
    </font>
    <font>
      <b/>
      <sz val="11"/>
      <name val="Cambri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1F1F3D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C00000"/>
        <bgColor rgb="FFFF0000"/>
      </patternFill>
    </fill>
    <fill>
      <patternFill patternType="solid">
        <fgColor rgb="FFED7D31"/>
        <bgColor rgb="FFFF8080"/>
      </patternFill>
    </fill>
    <fill>
      <patternFill patternType="solid">
        <fgColor rgb="FF808080"/>
        <bgColor rgb="FF8B8B8B"/>
      </patternFill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rgb="FFD9D9D9"/>
      </patternFill>
    </fill>
    <fill>
      <patternFill patternType="solid">
        <fgColor rgb="FF92D050"/>
        <b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5" fillId="0" borderId="0" xfId="0" applyNumberFormat="1" applyFont="1" applyAlignment="1">
      <alignment horizontal="left"/>
    </xf>
    <xf numFmtId="15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5" fillId="3" borderId="3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4" fillId="0" borderId="3" xfId="0" applyFont="1" applyBorder="1"/>
    <xf numFmtId="0" fontId="17" fillId="0" borderId="3" xfId="0" applyFont="1" applyBorder="1" applyAlignment="1">
      <alignment horizontal="center"/>
    </xf>
    <xf numFmtId="165" fontId="17" fillId="0" borderId="3" xfId="0" applyNumberFormat="1" applyFont="1" applyBorder="1" applyAlignment="1">
      <alignment horizontal="center"/>
    </xf>
    <xf numFmtId="0" fontId="18" fillId="0" borderId="3" xfId="0" applyFont="1" applyBorder="1"/>
    <xf numFmtId="0" fontId="19" fillId="0" borderId="3" xfId="0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10" fontId="21" fillId="0" borderId="0" xfId="0" applyNumberFormat="1" applyFont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20" fillId="0" borderId="1" xfId="0" applyFont="1" applyBorder="1"/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5A5A5"/>
      <rgbColor rgb="FF993366"/>
      <rgbColor rgb="FFFFFFCC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5B9BD5"/>
      <rgbColor rgb="FF70AD47"/>
      <rgbColor rgb="FFFFC000"/>
      <rgbColor rgb="FFFF9900"/>
      <rgbColor rgb="FFED7D31"/>
      <rgbColor rgb="FF666699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1F1F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8DF-4696-8C8A-1209EAA2AEA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8DF-4696-8C8A-1209EAA2AEA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8DF-4696-8C8A-1209EAA2AEA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8DF-4696-8C8A-1209EAA2AEA8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8DF-4696-8C8A-1209EAA2AEA8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8DF-4696-8C8A-1209EAA2AEA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8DF-4696-8C8A-1209EAA2AEA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8DF-4696-8C8A-1209EAA2AEA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8DF-4696-8C8A-1209EAA2AEA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8DF-4696-8C8A-1209EAA2AEA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8DF-4696-8C8A-1209EAA2AEA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D8DF-4696-8C8A-1209EAA2AE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Summary!$A$11:$A$16</c:f>
              <c:strCache>
                <c:ptCount val="6"/>
                <c:pt idx="0">
                  <c:v>Under Activation</c:v>
                </c:pt>
                <c:pt idx="1">
                  <c:v>Under TWAL Approval</c:v>
                </c:pt>
                <c:pt idx="2">
                  <c:v>In Process</c:v>
                </c:pt>
                <c:pt idx="3">
                  <c:v>Under MW Installation</c:v>
                </c:pt>
                <c:pt idx="4">
                  <c:v>Under MW Installation- Brown Condition</c:v>
                </c:pt>
                <c:pt idx="5">
                  <c:v>Not Yet Set</c:v>
                </c:pt>
              </c:strCache>
            </c:strRef>
          </c:cat>
          <c:val>
            <c:numRef>
              <c:f>Summary!$B$11:$B$16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DF-4696-8C8A-1209EAA2A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Region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Summary!$E$11:$E$13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Not Specified</c:v>
                </c:pt>
              </c:strCache>
            </c:strRef>
          </c:cat>
          <c:val>
            <c:numRef>
              <c:f>Summary!$F$11:$F$13</c:f>
              <c:numCache>
                <c:formatCode>General</c:formatCode>
                <c:ptCount val="3"/>
                <c:pt idx="0">
                  <c:v>16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5-4D90-9EBE-2A6CFE4CB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77040"/>
        <c:axId val="64143568"/>
      </c:barChart>
      <c:catAx>
        <c:axId val="86977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43568"/>
        <c:crosses val="autoZero"/>
        <c:auto val="1"/>
        <c:lblAlgn val="ctr"/>
        <c:lblOffset val="100"/>
        <c:noMultiLvlLbl val="0"/>
      </c:catAx>
      <c:valAx>
        <c:axId val="6414356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77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Summary!$A$22:$A$26</c:f>
              <c:strCache>
                <c:ptCount val="5"/>
                <c:pt idx="0">
                  <c:v>RIYADHDST</c:v>
                </c:pt>
                <c:pt idx="1">
                  <c:v>QASSIM</c:v>
                </c:pt>
                <c:pt idx="2">
                  <c:v>RIYADH</c:v>
                </c:pt>
                <c:pt idx="3">
                  <c:v>ALAHSA</c:v>
                </c:pt>
                <c:pt idx="4">
                  <c:v>Not Specified</c:v>
                </c:pt>
              </c:strCache>
            </c:strRef>
          </c:cat>
          <c:val>
            <c:numRef>
              <c:f>Summary!$B$22:$B$26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A-4F9F-99C2-A18887FF4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71617"/>
        <c:axId val="93369042"/>
      </c:barChart>
      <c:catAx>
        <c:axId val="461716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69042"/>
        <c:crosses val="autoZero"/>
        <c:auto val="1"/>
        <c:lblAlgn val="ctr"/>
        <c:lblOffset val="100"/>
        <c:noMultiLvlLbl val="0"/>
      </c:catAx>
      <c:valAx>
        <c:axId val="9336904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71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LOS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0D1-4F6D-B7FC-6C16212A67D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0D1-4F6D-B7FC-6C16212A67DD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0D1-4F6D-B7FC-6C16212A67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0D1-4F6D-B7FC-6C16212A67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0D1-4F6D-B7FC-6C16212A67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0D1-4F6D-B7FC-6C16212A6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Summary!$E$22:$E$24</c:f>
              <c:strCache>
                <c:ptCount val="3"/>
                <c:pt idx="0">
                  <c:v>CLOS</c:v>
                </c:pt>
                <c:pt idx="1">
                  <c:v>Pending</c:v>
                </c:pt>
                <c:pt idx="2">
                  <c:v>Not Started</c:v>
                </c:pt>
              </c:strCache>
            </c:strRef>
          </c:cat>
          <c:val>
            <c:numRef>
              <c:f>Summary!$F$22:$F$24</c:f>
              <c:numCache>
                <c:formatCode>General</c:formatCode>
                <c:ptCount val="3"/>
                <c:pt idx="0">
                  <c:v>15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D1-4F6D-B7FC-6C16212A6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Bandwidth (BW)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Summary!$A$31:$A$37</c:f>
              <c:strCache>
                <c:ptCount val="7"/>
                <c:pt idx="0">
                  <c:v>100Mbps</c:v>
                </c:pt>
                <c:pt idx="1">
                  <c:v>25MBPs</c:v>
                </c:pt>
                <c:pt idx="2">
                  <c:v>20MBPs</c:v>
                </c:pt>
                <c:pt idx="3">
                  <c:v>8MBPs</c:v>
                </c:pt>
                <c:pt idx="4">
                  <c:v>6MBPs</c:v>
                </c:pt>
                <c:pt idx="5">
                  <c:v>4MBPs</c:v>
                </c:pt>
                <c:pt idx="6">
                  <c:v>Not Specified</c:v>
                </c:pt>
              </c:strCache>
            </c:strRef>
          </c:cat>
          <c:val>
            <c:numRef>
              <c:f>Summary!$B$31:$B$37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E-4586-AFBA-8C5D78375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82752"/>
        <c:axId val="62704196"/>
      </c:barChart>
      <c:catAx>
        <c:axId val="21982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04196"/>
        <c:crosses val="autoZero"/>
        <c:auto val="1"/>
        <c:lblAlgn val="ctr"/>
        <c:lblOffset val="100"/>
        <c:noMultiLvlLbl val="0"/>
      </c:catAx>
      <c:valAx>
        <c:axId val="6270419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827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91560</xdr:colOff>
      <xdr:row>7</xdr:row>
      <xdr:rowOff>175440</xdr:rowOff>
    </xdr:from>
    <xdr:to>
      <xdr:col>12</xdr:col>
      <xdr:colOff>579120</xdr:colOff>
      <xdr:row>24</xdr:row>
      <xdr:rowOff>74940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83820</xdr:colOff>
      <xdr:row>25</xdr:row>
      <xdr:rowOff>4560</xdr:rowOff>
    </xdr:from>
    <xdr:to>
      <xdr:col>11</xdr:col>
      <xdr:colOff>508860</xdr:colOff>
      <xdr:row>39</xdr:row>
      <xdr:rowOff>144420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579120</xdr:colOff>
      <xdr:row>25</xdr:row>
      <xdr:rowOff>17280</xdr:rowOff>
    </xdr:from>
    <xdr:to>
      <xdr:col>18</xdr:col>
      <xdr:colOff>0</xdr:colOff>
      <xdr:row>39</xdr:row>
      <xdr:rowOff>120660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716340</xdr:colOff>
      <xdr:row>7</xdr:row>
      <xdr:rowOff>167580</xdr:rowOff>
    </xdr:from>
    <xdr:to>
      <xdr:col>17</xdr:col>
      <xdr:colOff>617760</xdr:colOff>
      <xdr:row>24</xdr:row>
      <xdr:rowOff>67080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68580</xdr:colOff>
      <xdr:row>40</xdr:row>
      <xdr:rowOff>57900</xdr:rowOff>
    </xdr:from>
    <xdr:to>
      <xdr:col>10</xdr:col>
      <xdr:colOff>356940</xdr:colOff>
      <xdr:row>55</xdr:row>
      <xdr:rowOff>45360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zoomScaleNormal="100" workbookViewId="0">
      <selection activeCell="A3" sqref="A3:XFD3"/>
    </sheetView>
  </sheetViews>
  <sheetFormatPr defaultColWidth="9.109375" defaultRowHeight="14.4"/>
  <cols>
    <col min="1" max="1" width="9.109375" style="15"/>
    <col min="2" max="3" width="38.5546875" style="15" customWidth="1"/>
    <col min="4" max="4" width="12.21875" style="15" customWidth="1"/>
    <col min="5" max="5" width="10.88671875" style="15" customWidth="1"/>
    <col min="6" max="6" width="33.77734375" style="15" customWidth="1"/>
    <col min="7" max="7" width="27.109375" style="16" customWidth="1"/>
    <col min="8" max="8" width="42.6640625" style="15" customWidth="1"/>
    <col min="9" max="9" width="51" style="15" customWidth="1"/>
    <col min="10" max="10" width="8.5546875" style="15" customWidth="1"/>
    <col min="11" max="11" width="18" style="15" customWidth="1"/>
    <col min="12" max="12" width="14.6640625" style="15" customWidth="1"/>
    <col min="13" max="13" width="11.109375" style="15" customWidth="1"/>
    <col min="14" max="14" width="12.33203125" style="15" customWidth="1"/>
    <col min="15" max="15" width="22.5546875" style="15" customWidth="1"/>
    <col min="16" max="16" width="25.88671875" style="15" customWidth="1"/>
    <col min="17" max="17" width="15.44140625" style="15" customWidth="1"/>
    <col min="18" max="18" width="48.6640625" style="15" customWidth="1"/>
    <col min="19" max="19" width="18.109375" style="15" customWidth="1"/>
    <col min="20" max="16384" width="9.109375" style="15"/>
  </cols>
  <sheetData>
    <row r="1" spans="1:19" s="19" customFormat="1" ht="14.2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</row>
    <row r="2" spans="1:19" s="19" customFormat="1" ht="14.25" customHeight="1">
      <c r="A2" s="20">
        <v>1</v>
      </c>
      <c r="B2" s="20" t="s">
        <v>19</v>
      </c>
      <c r="C2" s="21">
        <v>46205</v>
      </c>
      <c r="D2" s="22" t="s">
        <v>20</v>
      </c>
      <c r="E2" s="22" t="s">
        <v>21</v>
      </c>
      <c r="F2" s="23" t="s">
        <v>22</v>
      </c>
      <c r="G2" s="24" t="s">
        <v>23</v>
      </c>
      <c r="H2" s="22" t="s">
        <v>24</v>
      </c>
      <c r="I2" s="25" t="s">
        <v>25</v>
      </c>
      <c r="J2" s="22" t="s">
        <v>26</v>
      </c>
      <c r="K2" s="21">
        <v>46208</v>
      </c>
      <c r="L2" s="22" t="s">
        <v>27</v>
      </c>
      <c r="M2" s="22" t="s">
        <v>28</v>
      </c>
      <c r="N2" s="26">
        <v>46216</v>
      </c>
      <c r="R2" s="22" t="s">
        <v>29</v>
      </c>
      <c r="S2" s="19" t="s">
        <v>30</v>
      </c>
    </row>
    <row r="3" spans="1:19" s="19" customFormat="1" ht="14.25" customHeight="1">
      <c r="A3" s="22">
        <v>2</v>
      </c>
      <c r="B3" s="20" t="s">
        <v>31</v>
      </c>
      <c r="C3" s="21">
        <v>46205</v>
      </c>
      <c r="D3" s="22" t="s">
        <v>20</v>
      </c>
      <c r="E3" s="22" t="s">
        <v>32</v>
      </c>
      <c r="F3" s="23" t="s">
        <v>33</v>
      </c>
      <c r="G3" s="24" t="s">
        <v>34</v>
      </c>
      <c r="H3" s="22" t="s">
        <v>35</v>
      </c>
      <c r="I3" s="25" t="s">
        <v>36</v>
      </c>
      <c r="J3" s="22" t="s">
        <v>37</v>
      </c>
      <c r="K3" s="21">
        <v>46208</v>
      </c>
      <c r="L3" s="22" t="s">
        <v>27</v>
      </c>
      <c r="M3" s="22" t="s">
        <v>38</v>
      </c>
      <c r="N3" s="26">
        <v>46216</v>
      </c>
      <c r="O3" s="26">
        <v>46226</v>
      </c>
      <c r="P3" s="26">
        <v>46228</v>
      </c>
      <c r="Q3" s="26">
        <v>46228</v>
      </c>
      <c r="R3" s="62" t="s">
        <v>39</v>
      </c>
      <c r="S3" s="19" t="s">
        <v>30</v>
      </c>
    </row>
    <row r="4" spans="1:19" s="19" customFormat="1" ht="14.25" customHeight="1">
      <c r="A4" s="22">
        <v>3</v>
      </c>
      <c r="B4" s="20" t="s">
        <v>40</v>
      </c>
      <c r="C4" s="21">
        <v>46211</v>
      </c>
      <c r="D4" s="22" t="s">
        <v>20</v>
      </c>
      <c r="E4" s="22" t="s">
        <v>32</v>
      </c>
      <c r="F4" s="23" t="s">
        <v>41</v>
      </c>
      <c r="G4" s="24" t="s">
        <v>42</v>
      </c>
      <c r="H4" s="22" t="s">
        <v>43</v>
      </c>
      <c r="I4" s="22" t="s">
        <v>44</v>
      </c>
      <c r="J4" s="22" t="s">
        <v>45</v>
      </c>
      <c r="K4" s="21">
        <v>46212</v>
      </c>
      <c r="L4" s="22" t="s">
        <v>27</v>
      </c>
      <c r="M4" s="22" t="s">
        <v>46</v>
      </c>
      <c r="N4" s="26">
        <v>46222</v>
      </c>
      <c r="O4" s="26">
        <v>46228</v>
      </c>
      <c r="P4" s="26">
        <v>46229</v>
      </c>
      <c r="Q4" s="26">
        <v>46229</v>
      </c>
      <c r="R4" s="63" t="s">
        <v>47</v>
      </c>
      <c r="S4" s="19" t="s">
        <v>48</v>
      </c>
    </row>
    <row r="5" spans="1:19" s="19" customFormat="1" ht="14.25" customHeight="1">
      <c r="A5" s="22">
        <v>4</v>
      </c>
      <c r="B5" s="20" t="s">
        <v>49</v>
      </c>
      <c r="C5" s="21">
        <v>46211</v>
      </c>
      <c r="D5" s="22" t="s">
        <v>20</v>
      </c>
      <c r="E5" s="22" t="s">
        <v>21</v>
      </c>
      <c r="F5" s="23" t="s">
        <v>50</v>
      </c>
      <c r="G5" s="24" t="s">
        <v>51</v>
      </c>
      <c r="H5" s="22" t="s">
        <v>43</v>
      </c>
      <c r="I5" s="22" t="s">
        <v>52</v>
      </c>
      <c r="J5" s="22" t="s">
        <v>45</v>
      </c>
      <c r="K5" s="27">
        <v>46216</v>
      </c>
      <c r="L5" s="22" t="s">
        <v>27</v>
      </c>
      <c r="M5" s="22" t="s">
        <v>53</v>
      </c>
      <c r="N5" s="26">
        <v>46230</v>
      </c>
      <c r="R5" s="22" t="s">
        <v>29</v>
      </c>
      <c r="S5" s="19" t="s">
        <v>30</v>
      </c>
    </row>
    <row r="6" spans="1:19" s="19" customFormat="1" ht="15" customHeight="1">
      <c r="A6" s="22">
        <v>5</v>
      </c>
      <c r="B6" s="20" t="s">
        <v>54</v>
      </c>
      <c r="C6" s="21">
        <v>46213</v>
      </c>
      <c r="D6" s="22" t="s">
        <v>20</v>
      </c>
      <c r="E6" s="22" t="s">
        <v>21</v>
      </c>
      <c r="F6" s="23" t="s">
        <v>55</v>
      </c>
      <c r="G6" s="24" t="s">
        <v>56</v>
      </c>
      <c r="H6" s="22" t="s">
        <v>57</v>
      </c>
      <c r="I6" s="22" t="s">
        <v>58</v>
      </c>
      <c r="J6" s="22" t="s">
        <v>59</v>
      </c>
      <c r="K6" s="27">
        <v>46216</v>
      </c>
      <c r="L6" s="22" t="s">
        <v>27</v>
      </c>
      <c r="M6" s="22" t="s">
        <v>60</v>
      </c>
      <c r="R6" s="22" t="s">
        <v>61</v>
      </c>
    </row>
    <row r="7" spans="1:19" s="19" customFormat="1" ht="14.25" customHeight="1">
      <c r="A7" s="22">
        <v>6</v>
      </c>
      <c r="B7" s="20" t="s">
        <v>62</v>
      </c>
      <c r="C7" s="21">
        <v>46215</v>
      </c>
      <c r="D7" s="22" t="s">
        <v>20</v>
      </c>
      <c r="E7" s="22" t="s">
        <v>32</v>
      </c>
      <c r="F7" s="23" t="s">
        <v>63</v>
      </c>
      <c r="G7" s="24" t="s">
        <v>64</v>
      </c>
      <c r="H7" s="22" t="s">
        <v>57</v>
      </c>
      <c r="I7" s="22" t="s">
        <v>58</v>
      </c>
      <c r="J7" s="22" t="s">
        <v>65</v>
      </c>
      <c r="K7" s="27">
        <v>46216</v>
      </c>
      <c r="L7" s="22" t="s">
        <v>27</v>
      </c>
      <c r="M7" s="22" t="s">
        <v>66</v>
      </c>
      <c r="R7" s="22" t="s">
        <v>61</v>
      </c>
    </row>
    <row r="8" spans="1:19" s="19" customFormat="1" ht="14.25" customHeight="1">
      <c r="A8" s="22">
        <v>7</v>
      </c>
      <c r="B8" s="20" t="s">
        <v>67</v>
      </c>
      <c r="C8" s="21">
        <v>46215</v>
      </c>
      <c r="D8" s="22" t="s">
        <v>20</v>
      </c>
      <c r="E8" s="22" t="s">
        <v>32</v>
      </c>
      <c r="F8" s="23" t="s">
        <v>68</v>
      </c>
      <c r="G8" s="24" t="s">
        <v>69</v>
      </c>
      <c r="H8" s="22" t="s">
        <v>57</v>
      </c>
      <c r="I8" s="22" t="s">
        <v>58</v>
      </c>
      <c r="J8" s="22" t="s">
        <v>59</v>
      </c>
      <c r="K8" s="27">
        <v>46216</v>
      </c>
      <c r="L8" s="22" t="s">
        <v>27</v>
      </c>
      <c r="M8" s="22" t="s">
        <v>46</v>
      </c>
      <c r="R8" s="22" t="s">
        <v>70</v>
      </c>
    </row>
    <row r="9" spans="1:19" s="19" customFormat="1" ht="14.25" customHeight="1">
      <c r="A9" s="22">
        <v>8</v>
      </c>
      <c r="B9" s="20" t="s">
        <v>71</v>
      </c>
      <c r="C9" s="21">
        <v>46224</v>
      </c>
      <c r="D9" s="28" t="s">
        <v>20</v>
      </c>
      <c r="E9" s="22" t="s">
        <v>72</v>
      </c>
      <c r="F9" s="22" t="s">
        <v>73</v>
      </c>
      <c r="G9" s="24" t="s">
        <v>74</v>
      </c>
      <c r="H9" s="22" t="s">
        <v>75</v>
      </c>
      <c r="I9" s="22" t="s">
        <v>76</v>
      </c>
      <c r="J9" s="22" t="s">
        <v>77</v>
      </c>
      <c r="K9" s="27">
        <v>46224</v>
      </c>
      <c r="L9" s="22" t="s">
        <v>27</v>
      </c>
      <c r="M9" s="22" t="s">
        <v>78</v>
      </c>
      <c r="N9" s="26">
        <v>46226</v>
      </c>
      <c r="O9" s="26">
        <v>46226</v>
      </c>
      <c r="P9" s="26">
        <v>46226</v>
      </c>
      <c r="Q9" s="26"/>
      <c r="R9" s="29" t="s">
        <v>79</v>
      </c>
      <c r="S9" s="19" t="s">
        <v>30</v>
      </c>
    </row>
    <row r="10" spans="1:19" s="19" customFormat="1" ht="14.25" customHeight="1">
      <c r="A10" s="22">
        <v>9</v>
      </c>
      <c r="B10" s="20" t="s">
        <v>80</v>
      </c>
      <c r="C10" s="21">
        <v>46219</v>
      </c>
      <c r="D10" s="28" t="s">
        <v>20</v>
      </c>
      <c r="E10" s="30" t="s">
        <v>32</v>
      </c>
      <c r="F10" s="23" t="s">
        <v>81</v>
      </c>
      <c r="G10" s="24" t="s">
        <v>82</v>
      </c>
      <c r="H10" s="22" t="s">
        <v>57</v>
      </c>
      <c r="I10" s="22" t="s">
        <v>58</v>
      </c>
      <c r="J10" s="22" t="s">
        <v>59</v>
      </c>
      <c r="K10" s="27">
        <v>46223</v>
      </c>
      <c r="L10" s="22" t="s">
        <v>27</v>
      </c>
      <c r="M10" s="22" t="s">
        <v>83</v>
      </c>
      <c r="R10" s="22" t="s">
        <v>70</v>
      </c>
    </row>
    <row r="11" spans="1:19" s="19" customFormat="1" ht="14.25" customHeight="1">
      <c r="A11" s="22">
        <v>10</v>
      </c>
      <c r="B11" s="20" t="s">
        <v>84</v>
      </c>
      <c r="C11" s="27">
        <v>46176</v>
      </c>
      <c r="D11" s="28" t="s">
        <v>20</v>
      </c>
      <c r="E11" s="22" t="s">
        <v>72</v>
      </c>
      <c r="F11" s="23" t="s">
        <v>85</v>
      </c>
      <c r="G11" s="24" t="s">
        <v>86</v>
      </c>
      <c r="H11" s="22" t="s">
        <v>87</v>
      </c>
      <c r="I11" s="22" t="s">
        <v>88</v>
      </c>
      <c r="J11" s="22" t="s">
        <v>89</v>
      </c>
      <c r="L11" s="22" t="s">
        <v>27</v>
      </c>
      <c r="M11" s="22" t="s">
        <v>90</v>
      </c>
      <c r="O11" s="26">
        <v>46223</v>
      </c>
      <c r="P11" s="26">
        <v>46223</v>
      </c>
      <c r="Q11" s="26">
        <v>46223</v>
      </c>
      <c r="R11" s="62" t="s">
        <v>174</v>
      </c>
      <c r="S11" s="19" t="s">
        <v>30</v>
      </c>
    </row>
    <row r="12" spans="1:19" s="19" customFormat="1" ht="14.25" customHeight="1">
      <c r="A12" s="22">
        <v>11</v>
      </c>
      <c r="B12" s="20" t="s">
        <v>91</v>
      </c>
      <c r="C12" s="27">
        <v>46176</v>
      </c>
      <c r="D12" s="28" t="s">
        <v>20</v>
      </c>
      <c r="E12" s="22" t="s">
        <v>72</v>
      </c>
      <c r="F12" s="23" t="s">
        <v>92</v>
      </c>
      <c r="G12" s="24" t="s">
        <v>93</v>
      </c>
      <c r="H12" s="22" t="s">
        <v>87</v>
      </c>
      <c r="I12" s="22" t="s">
        <v>94</v>
      </c>
      <c r="J12" s="22" t="s">
        <v>89</v>
      </c>
      <c r="L12" s="22" t="s">
        <v>27</v>
      </c>
      <c r="M12" s="22" t="s">
        <v>95</v>
      </c>
      <c r="O12" s="26">
        <v>46226</v>
      </c>
      <c r="P12" s="26"/>
      <c r="Q12" s="26"/>
      <c r="R12" s="22" t="s">
        <v>96</v>
      </c>
      <c r="S12" s="19" t="s">
        <v>30</v>
      </c>
    </row>
    <row r="13" spans="1:19" s="19" customFormat="1" ht="14.25" customHeight="1">
      <c r="A13" s="22">
        <v>12</v>
      </c>
      <c r="B13" s="20" t="s">
        <v>97</v>
      </c>
      <c r="C13" s="27">
        <v>46176</v>
      </c>
      <c r="D13" s="28" t="s">
        <v>20</v>
      </c>
      <c r="E13" s="22" t="s">
        <v>32</v>
      </c>
      <c r="F13" s="23" t="s">
        <v>98</v>
      </c>
      <c r="G13" s="24" t="s">
        <v>99</v>
      </c>
      <c r="H13" s="22" t="s">
        <v>87</v>
      </c>
      <c r="I13" s="22" t="s">
        <v>94</v>
      </c>
      <c r="J13" s="22" t="s">
        <v>89</v>
      </c>
      <c r="L13" s="22" t="s">
        <v>27</v>
      </c>
      <c r="M13" s="22" t="s">
        <v>100</v>
      </c>
      <c r="O13" s="26">
        <v>46220</v>
      </c>
      <c r="P13" s="26">
        <v>46223</v>
      </c>
      <c r="Q13" s="26">
        <v>46227</v>
      </c>
      <c r="R13" s="62" t="s">
        <v>174</v>
      </c>
      <c r="S13" s="19" t="s">
        <v>30</v>
      </c>
    </row>
    <row r="14" spans="1:19" s="19" customFormat="1" ht="14.25" customHeight="1">
      <c r="A14" s="22">
        <v>13</v>
      </c>
      <c r="B14" s="20" t="s">
        <v>101</v>
      </c>
      <c r="C14" s="27">
        <v>46177</v>
      </c>
      <c r="D14" s="28" t="s">
        <v>102</v>
      </c>
      <c r="E14" s="22" t="s">
        <v>103</v>
      </c>
      <c r="F14" s="23" t="s">
        <v>104</v>
      </c>
      <c r="G14" s="24" t="s">
        <v>105</v>
      </c>
      <c r="H14" s="22" t="s">
        <v>87</v>
      </c>
      <c r="I14" s="22" t="s">
        <v>88</v>
      </c>
      <c r="J14" s="22" t="s">
        <v>89</v>
      </c>
      <c r="L14" s="22" t="s">
        <v>27</v>
      </c>
      <c r="M14" s="22" t="s">
        <v>106</v>
      </c>
      <c r="R14" s="22" t="s">
        <v>29</v>
      </c>
    </row>
    <row r="15" spans="1:19" s="19" customFormat="1" ht="14.25" customHeight="1">
      <c r="A15" s="22">
        <v>14</v>
      </c>
      <c r="B15" s="20" t="s">
        <v>107</v>
      </c>
      <c r="C15" s="27">
        <v>46222</v>
      </c>
      <c r="D15" s="22" t="s">
        <v>20</v>
      </c>
      <c r="E15" s="22" t="s">
        <v>32</v>
      </c>
      <c r="F15" s="22" t="s">
        <v>108</v>
      </c>
      <c r="G15" s="24" t="s">
        <v>109</v>
      </c>
      <c r="H15" s="22" t="s">
        <v>110</v>
      </c>
      <c r="I15" s="22" t="s">
        <v>111</v>
      </c>
      <c r="J15" s="22" t="s">
        <v>112</v>
      </c>
      <c r="K15" s="27">
        <v>46223</v>
      </c>
      <c r="L15" s="22" t="s">
        <v>27</v>
      </c>
      <c r="M15" s="22" t="s">
        <v>113</v>
      </c>
      <c r="N15" s="22"/>
      <c r="O15" s="22"/>
      <c r="P15" s="22"/>
      <c r="Q15" s="22"/>
      <c r="R15" s="22" t="s">
        <v>70</v>
      </c>
    </row>
    <row r="16" spans="1:19" s="19" customFormat="1" ht="14.25" customHeight="1">
      <c r="A16" s="22">
        <v>15</v>
      </c>
      <c r="B16" s="20" t="s">
        <v>114</v>
      </c>
      <c r="C16" s="27">
        <v>46222</v>
      </c>
      <c r="D16" s="22" t="s">
        <v>20</v>
      </c>
      <c r="E16" s="22" t="s">
        <v>32</v>
      </c>
      <c r="F16" s="22" t="s">
        <v>115</v>
      </c>
      <c r="G16" s="31" t="s">
        <v>116</v>
      </c>
      <c r="H16" s="22" t="s">
        <v>57</v>
      </c>
      <c r="I16" s="22" t="s">
        <v>111</v>
      </c>
      <c r="J16" s="22" t="s">
        <v>112</v>
      </c>
      <c r="K16" s="27">
        <v>46223</v>
      </c>
      <c r="L16" s="22" t="s">
        <v>27</v>
      </c>
      <c r="M16" s="22" t="s">
        <v>117</v>
      </c>
      <c r="N16" s="22"/>
      <c r="O16" s="22"/>
      <c r="P16" s="22"/>
      <c r="Q16" s="22"/>
      <c r="R16" s="22" t="s">
        <v>70</v>
      </c>
    </row>
    <row r="17" spans="1:19" s="19" customFormat="1" ht="14.25" customHeight="1">
      <c r="A17" s="22">
        <v>16</v>
      </c>
      <c r="B17" s="22" t="s">
        <v>118</v>
      </c>
      <c r="C17" s="27">
        <v>46229</v>
      </c>
      <c r="D17" s="22" t="s">
        <v>20</v>
      </c>
      <c r="E17" s="22" t="s">
        <v>21</v>
      </c>
      <c r="F17" s="22" t="s">
        <v>119</v>
      </c>
      <c r="G17" s="24" t="s">
        <v>120</v>
      </c>
      <c r="H17" s="22" t="s">
        <v>121</v>
      </c>
      <c r="I17" s="22" t="s">
        <v>111</v>
      </c>
      <c r="J17" s="22" t="s">
        <v>112</v>
      </c>
      <c r="K17" s="22"/>
      <c r="L17" s="22"/>
      <c r="M17" s="22" t="s">
        <v>122</v>
      </c>
      <c r="N17" s="22"/>
      <c r="O17" s="22"/>
      <c r="P17" s="22"/>
      <c r="Q17" s="22"/>
      <c r="R17" s="22"/>
      <c r="S17" s="22"/>
    </row>
    <row r="18" spans="1:19" s="19" customFormat="1" ht="14.25" customHeight="1">
      <c r="A18" s="22">
        <v>17</v>
      </c>
      <c r="B18" s="22" t="s">
        <v>123</v>
      </c>
      <c r="C18" s="32">
        <v>46229</v>
      </c>
      <c r="D18" s="22" t="s">
        <v>20</v>
      </c>
      <c r="E18" s="22" t="s">
        <v>124</v>
      </c>
      <c r="F18" s="22" t="s">
        <v>125</v>
      </c>
      <c r="G18" s="24" t="s">
        <v>126</v>
      </c>
      <c r="H18" s="22" t="s">
        <v>121</v>
      </c>
      <c r="I18" s="33" t="s">
        <v>111</v>
      </c>
      <c r="J18" s="22" t="s">
        <v>112</v>
      </c>
      <c r="K18" s="22"/>
      <c r="L18" s="22"/>
      <c r="M18" s="22" t="s">
        <v>127</v>
      </c>
      <c r="N18" s="22"/>
      <c r="O18" s="22"/>
      <c r="P18" s="22"/>
      <c r="Q18" s="22"/>
      <c r="R18" s="22"/>
      <c r="S18" s="22"/>
    </row>
    <row r="19" spans="1:19" s="19" customFormat="1" ht="14.25" customHeight="1">
      <c r="G19" s="34"/>
    </row>
    <row r="20" spans="1:19" s="19" customFormat="1" ht="14.25" customHeight="1">
      <c r="G20" s="34"/>
    </row>
    <row r="21" spans="1:19" s="19" customFormat="1" ht="14.25" customHeight="1">
      <c r="G21" s="34"/>
    </row>
    <row r="22" spans="1:19" s="19" customFormat="1" ht="14.25" customHeight="1">
      <c r="G22" s="34"/>
    </row>
    <row r="23" spans="1:19" s="19" customFormat="1" ht="14.25" customHeight="1">
      <c r="G23" s="34"/>
    </row>
    <row r="24" spans="1:19" s="19" customFormat="1" ht="14.25" customHeight="1">
      <c r="G24" s="34"/>
    </row>
    <row r="25" spans="1:19" s="19" customFormat="1" ht="14.25" customHeight="1">
      <c r="G25" s="34"/>
    </row>
    <row r="26" spans="1:19" s="19" customFormat="1" ht="14.25" customHeight="1">
      <c r="G26" s="34"/>
    </row>
    <row r="27" spans="1:19" s="19" customFormat="1" ht="14.25" customHeight="1">
      <c r="G27" s="34"/>
    </row>
    <row r="28" spans="1:19" s="19" customFormat="1" ht="14.25" customHeight="1">
      <c r="G28" s="34"/>
    </row>
    <row r="29" spans="1:19" s="19" customFormat="1" ht="14.25" customHeight="1">
      <c r="G29" s="34"/>
    </row>
    <row r="30" spans="1:19" s="19" customFormat="1" ht="14.25" customHeight="1">
      <c r="G30" s="34"/>
    </row>
    <row r="31" spans="1:19" s="19" customFormat="1" ht="14.25" customHeight="1">
      <c r="G31" s="34"/>
    </row>
    <row r="32" spans="1:19" s="19" customFormat="1" ht="14.25" customHeight="1">
      <c r="G32" s="34"/>
    </row>
    <row r="33" spans="7:7" s="19" customFormat="1" ht="14.25" customHeight="1">
      <c r="G33" s="34"/>
    </row>
    <row r="34" spans="7:7" s="19" customFormat="1" ht="14.25" customHeight="1">
      <c r="G34" s="34"/>
    </row>
    <row r="35" spans="7:7" s="19" customFormat="1" ht="14.25" customHeight="1">
      <c r="G35" s="34"/>
    </row>
    <row r="36" spans="7:7" s="19" customFormat="1" ht="14.25" customHeight="1">
      <c r="G36" s="34"/>
    </row>
    <row r="37" spans="7:7" s="19" customFormat="1" ht="14.25" customHeight="1">
      <c r="G37" s="34"/>
    </row>
    <row r="38" spans="7:7" s="19" customFormat="1" ht="14.25" customHeight="1">
      <c r="G38" s="34"/>
    </row>
    <row r="39" spans="7:7" s="19" customFormat="1" ht="14.25" customHeight="1">
      <c r="G39" s="34"/>
    </row>
    <row r="40" spans="7:7" s="19" customFormat="1" ht="14.25" customHeight="1">
      <c r="G40" s="34"/>
    </row>
    <row r="41" spans="7:7" s="19" customFormat="1" ht="14.25" customHeight="1">
      <c r="G41" s="34"/>
    </row>
    <row r="42" spans="7:7" s="19" customFormat="1" ht="14.25" customHeight="1">
      <c r="G42" s="34"/>
    </row>
    <row r="43" spans="7:7" s="19" customFormat="1" ht="14.25" customHeight="1">
      <c r="G43" s="34"/>
    </row>
  </sheetData>
  <autoFilter ref="A1:R1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zoomScaleNormal="100" workbookViewId="0">
      <selection activeCell="B2" sqref="B2"/>
    </sheetView>
  </sheetViews>
  <sheetFormatPr defaultColWidth="8.6640625" defaultRowHeight="14.4"/>
  <cols>
    <col min="1" max="1" width="7.21875" customWidth="1"/>
    <col min="2" max="2" width="20.77734375" customWidth="1"/>
    <col min="4" max="4" width="10.21875" customWidth="1"/>
    <col min="5" max="5" width="27" customWidth="1"/>
    <col min="6" max="6" width="16.88671875" customWidth="1"/>
    <col min="7" max="7" width="16.44140625" customWidth="1"/>
    <col min="8" max="8" width="24.33203125" customWidth="1"/>
    <col min="12" max="12" width="15" customWidth="1"/>
    <col min="13" max="13" width="16.77734375" customWidth="1"/>
    <col min="14" max="14" width="11.88671875" customWidth="1"/>
    <col min="15" max="15" width="22.21875" customWidth="1"/>
    <col min="16" max="16" width="25.77734375" customWidth="1"/>
    <col min="17" max="17" width="16" customWidth="1"/>
    <col min="18" max="18" width="26.77734375" customWidth="1"/>
    <col min="19" max="19" width="29.33203125" customWidth="1"/>
  </cols>
  <sheetData>
    <row r="1" spans="1:19" ht="14.25" customHeight="1">
      <c r="A1" s="35" t="s">
        <v>0</v>
      </c>
      <c r="B1" s="35" t="s">
        <v>1</v>
      </c>
      <c r="C1" s="35" t="s">
        <v>3</v>
      </c>
      <c r="D1" s="35" t="s">
        <v>4</v>
      </c>
      <c r="E1" s="35" t="s">
        <v>5</v>
      </c>
      <c r="F1" s="35" t="s">
        <v>6</v>
      </c>
      <c r="G1" s="35" t="s">
        <v>7</v>
      </c>
      <c r="H1" s="35" t="s">
        <v>8</v>
      </c>
      <c r="I1" s="35" t="s">
        <v>9</v>
      </c>
      <c r="J1" s="35" t="s">
        <v>11</v>
      </c>
      <c r="K1" s="35" t="s">
        <v>12</v>
      </c>
      <c r="L1" s="35" t="s">
        <v>2</v>
      </c>
      <c r="M1" s="35" t="s">
        <v>10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</row>
    <row r="2" spans="1:19" s="19" customFormat="1" ht="14.25" customHeight="1">
      <c r="A2" s="22">
        <v>1</v>
      </c>
      <c r="B2" s="20" t="s">
        <v>128</v>
      </c>
      <c r="C2" s="28" t="s">
        <v>20</v>
      </c>
      <c r="D2" s="22" t="s">
        <v>72</v>
      </c>
      <c r="E2" s="22" t="s">
        <v>129</v>
      </c>
      <c r="F2" s="22" t="s">
        <v>130</v>
      </c>
      <c r="G2" s="22" t="s">
        <v>57</v>
      </c>
      <c r="H2" s="22" t="s">
        <v>58</v>
      </c>
      <c r="I2" s="22" t="s">
        <v>59</v>
      </c>
      <c r="J2" s="22" t="s">
        <v>27</v>
      </c>
      <c r="K2" s="22" t="s">
        <v>83</v>
      </c>
      <c r="L2" s="21">
        <v>46219</v>
      </c>
      <c r="M2" s="27">
        <v>46223</v>
      </c>
      <c r="R2" s="36" t="s">
        <v>131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"/>
  <sheetViews>
    <sheetView showGridLines="0" zoomScale="80" zoomScaleNormal="80" workbookViewId="0">
      <selection activeCell="C17" sqref="C17"/>
    </sheetView>
  </sheetViews>
  <sheetFormatPr defaultColWidth="8.6640625" defaultRowHeight="14.4"/>
  <cols>
    <col min="1" max="1" width="19.44140625" customWidth="1"/>
    <col min="2" max="2" width="14.88671875" customWidth="1"/>
    <col min="3" max="3" width="14" customWidth="1"/>
    <col min="4" max="4" width="7.44140625" customWidth="1"/>
    <col min="5" max="5" width="19.21875" customWidth="1"/>
    <col min="6" max="6" width="12" customWidth="1"/>
    <col min="7" max="7" width="2" customWidth="1"/>
    <col min="8" max="8" width="26" customWidth="1"/>
    <col min="9" max="9" width="16" customWidth="1"/>
    <col min="10" max="10" width="10" customWidth="1"/>
    <col min="11" max="11" width="14" customWidth="1"/>
    <col min="12" max="12" width="12" customWidth="1"/>
    <col min="13" max="13" width="18" customWidth="1"/>
    <col min="14" max="14" width="12" customWidth="1"/>
    <col min="15" max="15" width="13.44140625" customWidth="1"/>
    <col min="16" max="16" width="6.44140625" customWidth="1"/>
    <col min="17" max="17" width="18" customWidth="1"/>
    <col min="18" max="18" width="9.109375" customWidth="1"/>
    <col min="20" max="20" width="13.33203125" customWidth="1"/>
  </cols>
  <sheetData>
    <row r="1" spans="1:18" ht="19.5" customHeight="1">
      <c r="A1" s="14" t="s">
        <v>132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8" ht="19.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8" ht="14.25" customHeight="1">
      <c r="A3" s="13" t="s">
        <v>133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8" ht="27.75" customHeight="1">
      <c r="A5" s="12" t="s">
        <v>134</v>
      </c>
      <c r="B5" s="12"/>
      <c r="C5" s="11" t="s">
        <v>135</v>
      </c>
      <c r="D5" s="11"/>
      <c r="E5" s="10" t="s">
        <v>136</v>
      </c>
      <c r="F5" s="10"/>
      <c r="G5" s="9" t="s">
        <v>137</v>
      </c>
      <c r="H5" s="9"/>
      <c r="I5" s="8" t="s">
        <v>138</v>
      </c>
      <c r="J5" s="8"/>
      <c r="K5" s="7" t="s">
        <v>139</v>
      </c>
      <c r="L5" s="7"/>
      <c r="M5" s="6" t="s">
        <v>140</v>
      </c>
      <c r="N5" s="6"/>
      <c r="O5" s="5" t="s">
        <v>141</v>
      </c>
      <c r="P5" s="5"/>
      <c r="Q5" s="4" t="s">
        <v>142</v>
      </c>
      <c r="R5" s="4"/>
    </row>
    <row r="6" spans="1:18" ht="21.75" customHeight="1">
      <c r="A6" s="3">
        <f>COUNTA('Active Orders'!$A$2:$A$500)</f>
        <v>17</v>
      </c>
      <c r="B6" s="3"/>
      <c r="C6" s="2">
        <f>COUNTIF('Active Orders'!$L$2:$L$500,"CLOS")</f>
        <v>15</v>
      </c>
      <c r="D6" s="2"/>
      <c r="E6" s="1">
        <f>COUNTIF('Active Orders'!$R$2:$R$500,"In Process")+COUNTIF('Active Orders'!$R$2:$R$500,"Under MW Installation")+COUNTIF('Active Orders'!$R$2:$R$500,"Under MW Installation- Brown Condition")</f>
        <v>3</v>
      </c>
      <c r="F6" s="1"/>
      <c r="G6" s="52">
        <f>COUNTIF('Active Orders'!$R$2:$R$500,"Under TWAL Approval")</f>
        <v>4</v>
      </c>
      <c r="H6" s="52"/>
      <c r="I6" s="53">
        <f>COUNTIF('Active Orders'!$R$2:$R$500,"Under MW Installation- Brown Condition")</f>
        <v>0</v>
      </c>
      <c r="J6" s="53"/>
      <c r="K6" s="54">
        <f>COUNTIFS('Active Orders'!$A$2:$A$500,"&lt;&gt;",'Active Orders'!$R$2:$R$500,"")</f>
        <v>2</v>
      </c>
      <c r="L6" s="54"/>
      <c r="M6" s="55">
        <f>COUNTA('Cancelled Orders'!$B$2:$B$500)</f>
        <v>1</v>
      </c>
      <c r="N6" s="55"/>
      <c r="O6" s="56">
        <f>COUNTIF('Active Orders'!$R$2:$R$500,"Delivered*")</f>
        <v>4</v>
      </c>
      <c r="P6" s="56"/>
      <c r="Q6" s="57">
        <f>A6+M6</f>
        <v>18</v>
      </c>
      <c r="R6" s="57"/>
    </row>
    <row r="7" spans="1:18" ht="21.75" customHeight="1">
      <c r="A7" s="3"/>
      <c r="B7" s="3"/>
      <c r="C7" s="2"/>
      <c r="D7" s="2"/>
      <c r="E7" s="1"/>
      <c r="F7" s="1"/>
      <c r="G7" s="52"/>
      <c r="H7" s="52"/>
      <c r="I7" s="53"/>
      <c r="J7" s="53"/>
      <c r="K7" s="54"/>
      <c r="L7" s="54"/>
      <c r="M7" s="55"/>
      <c r="N7" s="55"/>
      <c r="O7" s="56"/>
      <c r="P7" s="56"/>
      <c r="Q7" s="57"/>
      <c r="R7" s="57"/>
    </row>
    <row r="9" spans="1:18" ht="18" customHeight="1">
      <c r="A9" s="58" t="s">
        <v>143</v>
      </c>
      <c r="B9" s="58"/>
      <c r="C9" s="58"/>
      <c r="E9" s="58" t="s">
        <v>144</v>
      </c>
      <c r="F9" s="58"/>
    </row>
    <row r="10" spans="1:18" ht="14.25" customHeight="1">
      <c r="A10" s="37" t="s">
        <v>17</v>
      </c>
      <c r="B10" s="37" t="s">
        <v>145</v>
      </c>
      <c r="C10" s="37" t="s">
        <v>146</v>
      </c>
      <c r="E10" s="37" t="s">
        <v>3</v>
      </c>
      <c r="F10" s="37" t="s">
        <v>145</v>
      </c>
    </row>
    <row r="11" spans="1:18" ht="14.25" customHeight="1">
      <c r="A11" s="39" t="s">
        <v>61</v>
      </c>
      <c r="B11" s="40">
        <f>COUNTIF('Active Orders'!$R$2:$R$500,"Under Activation")</f>
        <v>2</v>
      </c>
      <c r="C11" s="41">
        <f t="shared" ref="C11:C18" si="0">B11/$B$18</f>
        <v>0.13333333333333333</v>
      </c>
      <c r="E11" s="39" t="s">
        <v>20</v>
      </c>
      <c r="F11" s="40">
        <f>COUNTIF('Active Orders'!$D$2:$D$500,"CENTRAL")</f>
        <v>16</v>
      </c>
    </row>
    <row r="12" spans="1:18" ht="14.25" customHeight="1">
      <c r="A12" s="39" t="s">
        <v>70</v>
      </c>
      <c r="B12" s="40">
        <f>COUNTIF('Active Orders'!$R$2:$R$500,"Under TWAL Approval")</f>
        <v>4</v>
      </c>
      <c r="C12" s="41">
        <f t="shared" si="0"/>
        <v>0.26666666666666666</v>
      </c>
      <c r="E12" s="39" t="s">
        <v>102</v>
      </c>
      <c r="F12" s="40">
        <f>COUNTIF('Active Orders'!$D$2:$D$500,"EAST")</f>
        <v>1</v>
      </c>
    </row>
    <row r="13" spans="1:18" ht="14.25" customHeight="1">
      <c r="A13" s="39" t="s">
        <v>150</v>
      </c>
      <c r="B13" s="40">
        <f>COUNTIF('Active Orders'!$R$2:$R$500,"In Process")</f>
        <v>0</v>
      </c>
      <c r="C13" s="41">
        <f t="shared" si="0"/>
        <v>0</v>
      </c>
      <c r="E13" s="39" t="s">
        <v>151</v>
      </c>
      <c r="F13" s="40">
        <f>COUNTIFS('Active Orders'!$A$2:$A$500,"&lt;&gt;",'Active Orders'!$D$2:$D$500,"")</f>
        <v>0</v>
      </c>
    </row>
    <row r="14" spans="1:18" ht="14.25" customHeight="1">
      <c r="A14" s="39" t="s">
        <v>29</v>
      </c>
      <c r="B14" s="40">
        <f>COUNTIF('Active Orders'!$R$2:$R$500,"Under MW Installation")</f>
        <v>3</v>
      </c>
      <c r="C14" s="41">
        <f t="shared" si="0"/>
        <v>0.2</v>
      </c>
    </row>
    <row r="15" spans="1:18" ht="17.25" customHeight="1">
      <c r="A15" s="39" t="s">
        <v>152</v>
      </c>
      <c r="B15" s="40">
        <f>COUNTIF('Active Orders'!$R$2:$R$500,"Under MW Installation- Brown Condition")</f>
        <v>0</v>
      </c>
      <c r="C15" s="41">
        <f t="shared" si="0"/>
        <v>0</v>
      </c>
      <c r="E15" s="59" t="s">
        <v>153</v>
      </c>
      <c r="F15" s="59"/>
    </row>
    <row r="16" spans="1:18" ht="14.25" customHeight="1">
      <c r="A16" s="39" t="s">
        <v>154</v>
      </c>
      <c r="B16" s="40">
        <f>COUNTIFS('Active Orders'!$A$2:$A$500,"&lt;&gt;",'Active Orders'!$R$2:$R$500,"")</f>
        <v>2</v>
      </c>
      <c r="C16" s="41">
        <f t="shared" si="0"/>
        <v>0.13333333333333333</v>
      </c>
      <c r="E16" s="38" t="s">
        <v>155</v>
      </c>
      <c r="F16" s="38" t="s">
        <v>145</v>
      </c>
    </row>
    <row r="17" spans="1:6" ht="14.25" customHeight="1">
      <c r="A17" s="39" t="s">
        <v>156</v>
      </c>
      <c r="B17" s="40">
        <f>COUNTIF('Active Orders'!$R$2:$R$500,"Delivered*")</f>
        <v>4</v>
      </c>
      <c r="C17" s="41">
        <f t="shared" si="0"/>
        <v>0.26666666666666666</v>
      </c>
      <c r="E17" s="42" t="s">
        <v>157</v>
      </c>
      <c r="F17" s="43">
        <f>COUNTA('Cancelled Orders'!$B$2:$B$500)</f>
        <v>1</v>
      </c>
    </row>
    <row r="18" spans="1:6" ht="14.25" customHeight="1">
      <c r="A18" s="44" t="s">
        <v>158</v>
      </c>
      <c r="B18" s="45">
        <f>SUM(B11:B17)</f>
        <v>15</v>
      </c>
      <c r="C18" s="46">
        <f>SUM(C11:C17)</f>
        <v>1</v>
      </c>
    </row>
    <row r="20" spans="1:6" ht="17.25" customHeight="1">
      <c r="A20" s="58" t="s">
        <v>159</v>
      </c>
      <c r="B20" s="58"/>
      <c r="E20" s="58" t="s">
        <v>160</v>
      </c>
      <c r="F20" s="58"/>
    </row>
    <row r="21" spans="1:6" ht="14.25" customHeight="1">
      <c r="A21" s="37" t="s">
        <v>4</v>
      </c>
      <c r="B21" s="37" t="s">
        <v>145</v>
      </c>
      <c r="E21" s="37" t="s">
        <v>11</v>
      </c>
      <c r="F21" s="37" t="s">
        <v>145</v>
      </c>
    </row>
    <row r="22" spans="1:6" ht="14.25" customHeight="1">
      <c r="A22" s="39" t="s">
        <v>32</v>
      </c>
      <c r="B22" s="40">
        <f>COUNTIF('Active Orders'!$E$2:$E$500,"RIYADHDST")</f>
        <v>8</v>
      </c>
      <c r="E22" s="39" t="s">
        <v>27</v>
      </c>
      <c r="F22" s="40">
        <f>COUNTIF('Active Orders'!$L$2:$L$500,"CLOS")</f>
        <v>15</v>
      </c>
    </row>
    <row r="23" spans="1:6" ht="14.25" customHeight="1">
      <c r="A23" s="39" t="s">
        <v>21</v>
      </c>
      <c r="B23" s="40">
        <f>COUNTIF('Active Orders'!$E$2:$E$500,"QASSIM")</f>
        <v>4</v>
      </c>
      <c r="E23" s="39" t="s">
        <v>161</v>
      </c>
      <c r="F23" s="40">
        <f>COUNTIF('Active Orders'!$L$2:$L$500,"Pending")</f>
        <v>0</v>
      </c>
    </row>
    <row r="24" spans="1:6" ht="14.25" customHeight="1">
      <c r="A24" s="39" t="s">
        <v>72</v>
      </c>
      <c r="B24" s="40">
        <f>COUNTIF('Active Orders'!$E$2:$E$500,"RIYADH")</f>
        <v>3</v>
      </c>
      <c r="E24" s="39" t="s">
        <v>162</v>
      </c>
      <c r="F24" s="40">
        <f>COUNTIFS('Active Orders'!$A$2:$A$500,"&lt;&gt;",'Active Orders'!$L$2:$L$500,"")</f>
        <v>2</v>
      </c>
    </row>
    <row r="25" spans="1:6" ht="14.25" customHeight="1">
      <c r="A25" s="39" t="s">
        <v>103</v>
      </c>
      <c r="B25" s="40">
        <f>COUNTIF('Active Orders'!$E$2:$E$500,"ALAHSA")</f>
        <v>1</v>
      </c>
    </row>
    <row r="26" spans="1:6" ht="14.25" customHeight="1">
      <c r="A26" s="39" t="s">
        <v>151</v>
      </c>
      <c r="B26" s="40">
        <f>COUNTIFS('Active Orders'!$A$2:$A$500,"&lt;&gt;",'Active Orders'!$E$2:$E$500,"")</f>
        <v>0</v>
      </c>
    </row>
    <row r="29" spans="1:6" ht="17.25" customHeight="1">
      <c r="A29" s="58" t="s">
        <v>163</v>
      </c>
      <c r="B29" s="58"/>
    </row>
    <row r="30" spans="1:6" ht="14.25" customHeight="1">
      <c r="A30" s="37" t="s">
        <v>164</v>
      </c>
      <c r="B30" s="37" t="s">
        <v>145</v>
      </c>
    </row>
    <row r="31" spans="1:6" ht="14.25" customHeight="1">
      <c r="A31" s="39" t="s">
        <v>89</v>
      </c>
      <c r="B31" s="40">
        <f>COUNTIF('Active Orders'!$J$2:$J$500,"100Mbps")</f>
        <v>4</v>
      </c>
    </row>
    <row r="32" spans="1:6" ht="14.25" customHeight="1">
      <c r="A32" s="39" t="s">
        <v>37</v>
      </c>
      <c r="B32" s="40">
        <f>COUNTIF('Active Orders'!$J$2:$J$500,"25MBPs")</f>
        <v>1</v>
      </c>
    </row>
    <row r="33" spans="1:3" ht="14.25" customHeight="1">
      <c r="A33" s="39" t="s">
        <v>26</v>
      </c>
      <c r="B33" s="40">
        <f>COUNTIF('Active Orders'!$J$2:$J$500,"20MBPs")</f>
        <v>1</v>
      </c>
    </row>
    <row r="34" spans="1:3" ht="14.25" customHeight="1">
      <c r="A34" s="39" t="s">
        <v>59</v>
      </c>
      <c r="B34" s="40">
        <f>COUNTIF('Active Orders'!$J$2:$J$500,"8MBPs")</f>
        <v>7</v>
      </c>
    </row>
    <row r="35" spans="1:3" ht="14.25" customHeight="1">
      <c r="A35" s="39" t="s">
        <v>45</v>
      </c>
      <c r="B35" s="40">
        <f>COUNTIF('Active Orders'!$J$2:$J$500,"6MBPs")</f>
        <v>2</v>
      </c>
    </row>
    <row r="36" spans="1:3" ht="14.25" customHeight="1">
      <c r="A36" s="39" t="s">
        <v>65</v>
      </c>
      <c r="B36" s="40">
        <f>COUNTIF('Active Orders'!$J$2:$J$500,"4MBPs")</f>
        <v>1</v>
      </c>
    </row>
    <row r="37" spans="1:3" ht="14.25" customHeight="1">
      <c r="A37" s="39" t="s">
        <v>151</v>
      </c>
      <c r="B37" s="40">
        <f>COUNTIFS('Active Orders'!$A$2:$A$500,"&lt;&gt;",'Active Orders'!$J$2:$J$500,"")</f>
        <v>0</v>
      </c>
    </row>
    <row r="40" spans="1:3" ht="15.75" customHeight="1">
      <c r="A40" s="60" t="s">
        <v>165</v>
      </c>
      <c r="B40" s="60"/>
      <c r="C40" s="60"/>
    </row>
    <row r="41" spans="1:3" ht="14.25" customHeight="1">
      <c r="A41" s="47" t="s">
        <v>166</v>
      </c>
      <c r="B41" s="47" t="s">
        <v>147</v>
      </c>
      <c r="C41" s="47" t="s">
        <v>145</v>
      </c>
    </row>
    <row r="42" spans="1:3" ht="14.25" customHeight="1">
      <c r="A42" s="48" t="s">
        <v>167</v>
      </c>
      <c r="B42" s="48" t="s">
        <v>148</v>
      </c>
      <c r="C42" s="49">
        <f>COUNTIF('Active Orders'!$B$2:$B$500,"*STC")</f>
        <v>16</v>
      </c>
    </row>
    <row r="43" spans="1:3" ht="14.25" customHeight="1">
      <c r="A43" s="48" t="s">
        <v>167</v>
      </c>
      <c r="B43" s="48" t="s">
        <v>149</v>
      </c>
      <c r="C43" s="49">
        <f>COUNTIF('Cancelled Orders'!$B$2:$B$500,"*STC")</f>
        <v>1</v>
      </c>
    </row>
    <row r="44" spans="1:3" ht="14.25" customHeight="1">
      <c r="A44" s="48" t="s">
        <v>168</v>
      </c>
      <c r="B44" s="48" t="s">
        <v>148</v>
      </c>
      <c r="C44" s="49">
        <f>COUNTIF('Active Orders'!$B$2:$B$500,"*Mobily")</f>
        <v>1</v>
      </c>
    </row>
    <row r="45" spans="1:3" ht="14.25" customHeight="1">
      <c r="A45" s="48" t="s">
        <v>168</v>
      </c>
      <c r="B45" s="48" t="s">
        <v>149</v>
      </c>
      <c r="C45" s="49">
        <f>COUNTIF('Cancelled Orders'!$B$2:$B$500,"*Mobily")</f>
        <v>0</v>
      </c>
    </row>
    <row r="46" spans="1:3" ht="14.25" customHeight="1">
      <c r="A46" s="61" t="s">
        <v>169</v>
      </c>
      <c r="B46" s="61"/>
      <c r="C46" s="51">
        <f>SUM(C42:C43)</f>
        <v>17</v>
      </c>
    </row>
    <row r="47" spans="1:3" ht="14.25" customHeight="1">
      <c r="A47" s="61" t="s">
        <v>170</v>
      </c>
      <c r="B47" s="61"/>
      <c r="C47" s="51">
        <f>SUM(C44:C45)</f>
        <v>1</v>
      </c>
    </row>
    <row r="49" spans="1:2" ht="15.75" customHeight="1">
      <c r="A49" s="60" t="s">
        <v>173</v>
      </c>
      <c r="B49" s="60"/>
    </row>
    <row r="50" spans="1:2" ht="14.25" customHeight="1">
      <c r="A50" s="47" t="s">
        <v>171</v>
      </c>
      <c r="B50" s="47" t="s">
        <v>145</v>
      </c>
    </row>
    <row r="51" spans="1:2" ht="14.25" customHeight="1">
      <c r="A51" s="48" t="s">
        <v>148</v>
      </c>
      <c r="B51" s="49">
        <f>COUNTA('Active Orders'!$B$2:$B$500)</f>
        <v>17</v>
      </c>
    </row>
    <row r="52" spans="1:2" ht="14.25" customHeight="1">
      <c r="A52" s="48" t="s">
        <v>149</v>
      </c>
      <c r="B52" s="49">
        <f>COUNTA('Cancelled Orders'!$B$2:$B$500)</f>
        <v>1</v>
      </c>
    </row>
    <row r="53" spans="1:2" ht="14.25" customHeight="1">
      <c r="A53" s="50" t="s">
        <v>172</v>
      </c>
      <c r="B53" s="51">
        <f>B51+B52</f>
        <v>18</v>
      </c>
    </row>
  </sheetData>
  <mergeCells count="30">
    <mergeCell ref="A47:B47"/>
    <mergeCell ref="A49:B49"/>
    <mergeCell ref="A20:B20"/>
    <mergeCell ref="E20:F20"/>
    <mergeCell ref="A29:B29"/>
    <mergeCell ref="A40:C40"/>
    <mergeCell ref="A46:B46"/>
    <mergeCell ref="A9:C9"/>
    <mergeCell ref="E9:F9"/>
    <mergeCell ref="E15:F15"/>
    <mergeCell ref="M5:N5"/>
    <mergeCell ref="O5:P5"/>
    <mergeCell ref="Q5:R5"/>
    <mergeCell ref="A6:B7"/>
    <mergeCell ref="C6:D7"/>
    <mergeCell ref="E6:F7"/>
    <mergeCell ref="G6:H7"/>
    <mergeCell ref="I6:J7"/>
    <mergeCell ref="K6:L7"/>
    <mergeCell ref="M6:N7"/>
    <mergeCell ref="O6:P7"/>
    <mergeCell ref="Q6:R7"/>
    <mergeCell ref="A1:L2"/>
    <mergeCell ref="A3:L3"/>
    <mergeCell ref="A5:B5"/>
    <mergeCell ref="C5:D5"/>
    <mergeCell ref="E5:F5"/>
    <mergeCell ref="G5:H5"/>
    <mergeCell ref="I5:J5"/>
    <mergeCell ref="K5:L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Orders</vt:lpstr>
      <vt:lpstr>Cancelled 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Kamaran . Aslam</dc:creator>
  <dc:description/>
  <cp:lastModifiedBy>Hassan</cp:lastModifiedBy>
  <cp:revision>8</cp:revision>
  <dcterms:created xsi:type="dcterms:W3CDTF">2026-07-12T06:58:14Z</dcterms:created>
  <dcterms:modified xsi:type="dcterms:W3CDTF">2026-07-28T12:13:23Z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{"STC Production PolicyServer (ed9463b2396aa46392112b056e0b55b7b5547097)":{"ClassificationDisplayName":"Public - عام","ClassificationMode":"ClassificationMode_UserDriven","LabelId":"100014","Version":"1"}}</vt:lpwstr>
  </property>
  <property fmtid="{D5CDD505-2E9C-101B-9397-08002B2CF9AE}" pid="3" name="SecloreClassificationDisplayName_ed9463b2396aa46392112b056e0b55b7b5547097">
    <vt:lpwstr>Public - عام</vt:lpwstr>
  </property>
  <property fmtid="{D5CDD505-2E9C-101B-9397-08002B2CF9AE}" pid="4" name="SecloreClassificationFooterAlignment">
    <vt:lpwstr>Center</vt:lpwstr>
  </property>
  <property fmtid="{D5CDD505-2E9C-101B-9397-08002B2CF9AE}" pid="5" name="SecloreClassificationFooterColorHex">
    <vt:lpwstr>#6aa850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TextValue">
    <vt:lpwstr>Public - عام</vt:lpwstr>
  </property>
  <property fmtid="{D5CDD505-2E9C-101B-9397-08002B2CF9AE}" pid="8" name="SecloreClassificationHeaderAlignment">
    <vt:lpwstr>Center</vt:lpwstr>
  </property>
  <property fmtid="{D5CDD505-2E9C-101B-9397-08002B2CF9AE}" pid="9" name="SecloreClassificationHeaderColorHex">
    <vt:lpwstr>#6aa850</vt:lpwstr>
  </property>
  <property fmtid="{D5CDD505-2E9C-101B-9397-08002B2CF9AE}" pid="10" name="SecloreClassificationHeaderFontSize">
    <vt:lpwstr>12</vt:lpwstr>
  </property>
  <property fmtid="{D5CDD505-2E9C-101B-9397-08002B2CF9AE}" pid="11" name="SecloreClassificationHeaderTextValue">
    <vt:lpwstr>Public - عام</vt:lpwstr>
  </property>
</Properties>
</file>